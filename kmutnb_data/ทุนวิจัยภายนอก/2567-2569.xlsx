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O\Downloads\Project_CS\1. โครงการทุนวิจัย\"/>
    </mc:Choice>
  </mc:AlternateContent>
  <xr:revisionPtr revIDLastSave="0" documentId="13_ncr:1_{CBB95107-F4AE-416C-B45F-F79768DD8D11}" xr6:coauthVersionLast="36" xr6:coauthVersionMax="47" xr10:uidLastSave="{00000000-0000-0000-0000-000000000000}"/>
  <bookViews>
    <workbookView xWindow="28680" yWindow="-120" windowWidth="29040" windowHeight="15840" activeTab="3" xr2:uid="{D32D6968-471C-4F66-A8EE-4ECCDE8DA499}"/>
  </bookViews>
  <sheets>
    <sheet name="2567" sheetId="2" r:id="rId1"/>
    <sheet name="2568" sheetId="3" r:id="rId2"/>
    <sheet name="2569" sheetId="6" r:id="rId3"/>
    <sheet name="DATA" sheetId="5" r:id="rId4"/>
  </sheets>
  <externalReferences>
    <externalReference r:id="rId5"/>
    <externalReference r:id="rId6"/>
  </externalReferences>
  <definedNames>
    <definedName name="fiscal">[1]Dropdown!$B$16:$C$37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2" l="1"/>
  <c r="E4" i="6" l="1"/>
  <c r="E5" i="3"/>
  <c r="X49" i="5" l="1"/>
  <c r="M49" i="5"/>
  <c r="A49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B38" i="5"/>
  <c r="B37" i="5"/>
  <c r="B36" i="5"/>
  <c r="AK9" i="5"/>
  <c r="E17" i="5" s="1"/>
  <c r="E33" i="5" s="1"/>
  <c r="Y9" i="5"/>
  <c r="D17" i="5" s="1"/>
  <c r="E32" i="5" s="1"/>
  <c r="M9" i="5"/>
  <c r="C17" i="5" s="1"/>
  <c r="E31" i="5" s="1"/>
  <c r="AK8" i="5"/>
  <c r="E16" i="5" s="1"/>
  <c r="D33" i="5" s="1"/>
  <c r="Y8" i="5"/>
  <c r="D16" i="5" s="1"/>
  <c r="D32" i="5" s="1"/>
  <c r="M8" i="5"/>
  <c r="C16" i="5" s="1"/>
  <c r="D31" i="5" s="1"/>
  <c r="AK7" i="5"/>
  <c r="E15" i="5" s="1"/>
  <c r="C33" i="5" s="1"/>
  <c r="Y7" i="5"/>
  <c r="D15" i="5" s="1"/>
  <c r="C32" i="5" s="1"/>
  <c r="M7" i="5"/>
  <c r="C15" i="5" s="1"/>
  <c r="C31" i="5" s="1"/>
  <c r="AN6" i="5"/>
  <c r="AN49" i="5" s="1"/>
  <c r="AM6" i="5"/>
  <c r="AM49" i="5" s="1"/>
  <c r="AL6" i="5"/>
  <c r="AL49" i="5" s="1"/>
  <c r="AK6" i="5"/>
  <c r="AK49" i="5" s="1"/>
  <c r="AJ6" i="5"/>
  <c r="AJ49" i="5" s="1"/>
  <c r="AI6" i="5"/>
  <c r="AI49" i="5" s="1"/>
  <c r="AH6" i="5"/>
  <c r="AH49" i="5" s="1"/>
  <c r="AG6" i="5"/>
  <c r="AG49" i="5" s="1"/>
  <c r="AF6" i="5"/>
  <c r="AF49" i="5" s="1"/>
  <c r="AE6" i="5"/>
  <c r="AE49" i="5" s="1"/>
  <c r="AD6" i="5"/>
  <c r="AD49" i="5" s="1"/>
  <c r="AC6" i="5"/>
  <c r="AC49" i="5" s="1"/>
  <c r="AB6" i="5"/>
  <c r="AB49" i="5" s="1"/>
  <c r="AA6" i="5"/>
  <c r="AA49" i="5" s="1"/>
  <c r="Z6" i="5"/>
  <c r="Z49" i="5" s="1"/>
  <c r="Y6" i="5"/>
  <c r="Y49" i="5" s="1"/>
  <c r="X6" i="5"/>
  <c r="W6" i="5"/>
  <c r="W49" i="5" s="1"/>
  <c r="V6" i="5"/>
  <c r="V49" i="5" s="1"/>
  <c r="U6" i="5"/>
  <c r="U49" i="5" s="1"/>
  <c r="T6" i="5"/>
  <c r="T49" i="5" s="1"/>
  <c r="S6" i="5"/>
  <c r="S49" i="5" s="1"/>
  <c r="R6" i="5"/>
  <c r="R49" i="5" s="1"/>
  <c r="Q6" i="5"/>
  <c r="Q49" i="5" s="1"/>
  <c r="P6" i="5"/>
  <c r="P49" i="5" s="1"/>
  <c r="O6" i="5"/>
  <c r="O49" i="5" s="1"/>
  <c r="N6" i="5"/>
  <c r="N49" i="5" s="1"/>
  <c r="M6" i="5"/>
  <c r="L6" i="5"/>
  <c r="L49" i="5" s="1"/>
  <c r="K6" i="5"/>
  <c r="K49" i="5" s="1"/>
  <c r="J6" i="5"/>
  <c r="J49" i="5" s="1"/>
  <c r="I6" i="5"/>
  <c r="I49" i="5" s="1"/>
  <c r="H6" i="5"/>
  <c r="H49" i="5" s="1"/>
  <c r="G6" i="5"/>
  <c r="G49" i="5" s="1"/>
  <c r="F6" i="5"/>
  <c r="F49" i="5" s="1"/>
  <c r="E6" i="5"/>
  <c r="E49" i="5" s="1"/>
  <c r="D6" i="5"/>
  <c r="D49" i="5" s="1"/>
  <c r="C6" i="5"/>
  <c r="C49" i="5" s="1"/>
  <c r="B6" i="5"/>
  <c r="B49" i="5" s="1"/>
  <c r="M10" i="5" l="1"/>
  <c r="C18" i="5" s="1"/>
  <c r="F31" i="5" s="1"/>
  <c r="C36" i="5" s="1"/>
  <c r="AK10" i="5"/>
  <c r="E18" i="5" s="1"/>
  <c r="F33" i="5" s="1"/>
  <c r="C38" i="5" s="1"/>
  <c r="Y10" i="5"/>
  <c r="D18" i="5" s="1"/>
  <c r="F32" i="5" s="1"/>
  <c r="C37" i="5" s="1"/>
</calcChain>
</file>

<file path=xl/sharedStrings.xml><?xml version="1.0" encoding="utf-8"?>
<sst xmlns="http://schemas.openxmlformats.org/spreadsheetml/2006/main" count="119" uniqueCount="66">
  <si>
    <t>คณะวิทยาศาสตร์ประยุกต์</t>
  </si>
  <si>
    <t>เอกชน</t>
  </si>
  <si>
    <t>รัฐ</t>
  </si>
  <si>
    <t xml:space="preserve">คณะวิทยาศาสตร์ประยุกต์ </t>
  </si>
  <si>
    <t>สำนักงานการวิจัยแห่งชาติ (วช.)</t>
  </si>
  <si>
    <t>ปี 2567</t>
  </si>
  <si>
    <t>การตรวจจับแบคทีเรียอีโคไลโดยใช้แบคเทอริโอเฟจและระบบคริสเปอร์-แคส12</t>
  </si>
  <si>
    <t>อาจารย์ ดร.ณิชารีย์ วิสุทธิแพทย์</t>
  </si>
  <si>
    <t>ปี 2568</t>
  </si>
  <si>
    <t>STRI</t>
  </si>
  <si>
    <t>การเพิ่มมูลค่าผลิตภัณฑ์อาหารแปรูปของอำเภอไทรน้อย จังหวัดนนทบุรีด้วยโมเดลเศรษฐกิจ BCG</t>
  </si>
  <si>
    <t>อ.ดร. ฐสรรพร แสงสุขเอี่ยม, ผศ.ดร. ปลายมีน อำนวยชีวะ, ผศ.ดร. ภรณี ลิมปิสุต, ผศ.ดร. ศรายุทธ เงินทอง</t>
  </si>
  <si>
    <t>สำนักงานปลัดกระทรวงการอุดมศึกษา วิทยาศาสตร์ วิจัยและนวัตกรรม</t>
  </si>
  <si>
    <t>โครงการยกระดับบุคลากรสู่อาชีพเชฟฮาลาลอาหารไทยชายแดนใต้ ด้วยคุณวุฒิวิชาชีพ (อบรมสร้างเชฟฮาลาล “กลุ่มช้างเผือก”) ประจำปีงบประมาณ พ.ศ. 2568</t>
  </si>
  <si>
    <t>สถาบันคุณวุฒิวิชาชีพ (องค์การมหาชน)</t>
  </si>
  <si>
    <t>ผศ.ดร. ภรณี ลิมปิสุต, ชัยพิพัฒน์ ศรีมณีชัย, ผศ.ดร. ดวงกมล โพธิ์นาค</t>
  </si>
  <si>
    <t>การขยายสเกลผลิตฝักอ่อนถั่วพุ่มฟรีซดรายพร้อมบริโภคในระดับโรงงานต้นแบบ</t>
  </si>
  <si>
    <t>รศ.ดร. เบญจวรรณ ธรรมธนารักษ์, ศ.ดร. วิไล รังสาดทอง</t>
  </si>
  <si>
    <t>หน่วยบริหารและจัดการทุนด้านการเพิ่มความสามารถในการแข่งขัน ของประเทศ (บพข.)</t>
  </si>
  <si>
    <t>โครงการจ้างตรวจสอบด้านเทคโนโลยีสารสนเทศ ประจำปีงบประมาณ พ.ศ. 2567</t>
  </si>
  <si>
    <t>ผศ.ดร. ศักดิ์ชาย ตั้งประเสริฐ, รศ.ดร. นลินภัสร์ บำเพ็ญเพียร, ผศ.ดร. ชนนิกานต์ รอดมรณ์</t>
  </si>
  <si>
    <t>สำนักงานส่งเสริมเศรษฐกิจสร้างสรรค์ (องค์การมหาชน)</t>
  </si>
  <si>
    <t>โครงการงานบริการวิชาการ งานวิจัยเรื่อง จ้างที่ปรึกษาโครงการพัฒนาแบบจำลอง ภูมิประเทศความละเอียดสูงเพื่อการบริหารจัดการน้ำและแก้ไขปัญหาอุทกภัยอย่างยั่งยืน</t>
  </si>
  <si>
    <t>ผศ.ดร. นิกร สุทธิเสงี่ยม</t>
  </si>
  <si>
    <t>Technopark</t>
  </si>
  <si>
    <t>โครงการจ้างผู้เชี่ยวชาญสำหรับโครงการตรวจสอบระบบเทคโนโลยีสารสนเทศ ปีงบประมาณ 2567</t>
  </si>
  <si>
    <t>ผศ.ดร. ศักดิ์ชาย ตั้งประเสริฐ</t>
  </si>
  <si>
    <t>สำนักงานพัฒนาธุรกรรมทางอิเล็กทรอนิกส์</t>
  </si>
  <si>
    <t>การพัฒนาสารเรืองแสงชนิดเฮปทาเมททีนไซยานินแบบอสมมาตรที่เรืองแสงภายใต้รังสีอินฟราเรดช่วงคลื่นสั้น ใช้สำหรับการตรวจจับกลูตาไธโอนอย่างจำเพาะเจาะจงและตรวจจับการเปลี่ยนแปลงความหนืดภายในเซลล์มะเร็ง</t>
  </si>
  <si>
    <t>ผศ.ดร. อรณิชา ไข่เกษ</t>
  </si>
  <si>
    <t>โครงการบริการวิชาการ งานวิจัยเรื่อง โครงการพัฒนาความมั่นคงปลอดภัยระบบสารสนเทศ กรมประชาสัมพันธ์ ประจำปีงบประมาณ พ.ศ. 2567</t>
  </si>
  <si>
    <t>กรมประชาสัมพันธ์</t>
  </si>
  <si>
    <t>สำนักงานอัยการสูงสุด</t>
  </si>
  <si>
    <t>โครงการการพัฒนาต้นแบบและประยุกต์ใช้เทคโนโลยีเพื่อเปลี่ยนของเสียและวัสดุเหลือทิ้งในอุตสาหกรรมการเกษตรและปศุสัตว์ เป็นไฮโดรเจนสีเขียวและผลิตภัณฑ์มูลค่าสูง เพื่อรองรับอุตสาหกรรมการบิน</t>
  </si>
  <si>
    <t>ผศ.ดร. สุพาชัย เจษฎาเจิม, อ.ดร. วรรณวิทู วรรณโมลี</t>
  </si>
  <si>
    <t>โครงการจ้างพัฒนาระบบฐานข้อมูลคดีป้องกันและปราบปรามการทรมานและการกระทำให้บุคคลสูญหาย</t>
  </si>
  <si>
    <t>ผศ.ดร. นิกร สุทธิเสงี่ยม, ผศ.ดร. ลือพล พิพานเมฆาภรณ์, ผศ.ดร. สุวัจชัย กมลสันติโรจน์</t>
  </si>
  <si>
    <t>สถาบันสารสนเทศทรัพยากรน้ำและการเกษตร(องค์การมหาชน)</t>
  </si>
  <si>
    <t>บพข. โครงการร่วมกับ มจธ. หัวหน้าโครงการคืออาจารย์ของ มจธ</t>
  </si>
  <si>
    <t xml:space="preserve">  -</t>
  </si>
  <si>
    <t>การเตรียมตำรับยาและลักษณะเฉพาะของสครับผิวโดยใช้กากกระท่อม</t>
  </si>
  <si>
    <t>ผศ.ดร. นิศาลักษณ์ ตรงศิริวัฒน์</t>
  </si>
  <si>
    <t>kmutnb</t>
  </si>
  <si>
    <t>Gov</t>
  </si>
  <si>
    <t>Private</t>
  </si>
  <si>
    <t>total</t>
  </si>
  <si>
    <t>Kmutnb</t>
  </si>
  <si>
    <t>-</t>
  </si>
  <si>
    <t xml:space="preserve">Gov section </t>
  </si>
  <si>
    <t xml:space="preserve">Private section </t>
  </si>
  <si>
    <t>total per month</t>
  </si>
  <si>
    <t>KMUTNB</t>
  </si>
  <si>
    <t>GOV</t>
  </si>
  <si>
    <t>2565-2567</t>
  </si>
  <si>
    <t>ศึกษาประสิทธิภาพของระบบการทำให้ปราศจากเชื้อของเครื่องอบฆ่าเชื้ออัตโนมัติด้วยแก๊สเอทธิลีนอ๊อกไซด์ ตามมาตรฐาน EN 1422:2014</t>
  </si>
  <si>
    <t>ผู้ช่วยศาสตราจารย์ ดร.เบญจมาภรณ์ วงศ์อนุ</t>
  </si>
  <si>
    <t>บริษัท นำวิวัฒน์ เมดิคอล คอร์ปอเรชั่น จำกัด (มหาชน)</t>
  </si>
  <si>
    <t>ปี 2569</t>
  </si>
  <si>
    <t>ชื่อโครงการ</t>
  </si>
  <si>
    <t>ส่วนงาน</t>
  </si>
  <si>
    <t>แหล่งทุน</t>
  </si>
  <si>
    <t>งบประมาณ</t>
  </si>
  <si>
    <t>ภาครัฐ/เอกชน</t>
  </si>
  <si>
    <t>ปีงบประมาณ</t>
  </si>
  <si>
    <t>หน่วยงานที่ผ่านเรื่อง</t>
  </si>
  <si>
    <t>คณะผู้วิจัย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</si>
</sst>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20"/>
      <color theme="1"/>
      <name val="Aptos Narrow"/>
      <family val="2"/>
      <scheme val="minor"/>
    </font>
    <font>
      <sz val="16"/>
      <color theme="1"/>
      <name val="TH Sarabun New"/>
      <family val="2"/>
    </font>
    <font>
      <sz val="16"/>
      <color rgb="FF212529"/>
      <name val="TH Sarabun New"/>
      <family val="2"/>
    </font>
    <font>
      <b/>
      <sz val="16"/>
      <color theme="1"/>
      <name val="TH Sarabun New"/>
      <family val="2"/>
    </font>
    <font>
      <sz val="16"/>
      <color rgb="FF000000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0" fontId="2" fillId="0" borderId="0"/>
  </cellStyleXfs>
  <cellXfs count="51">
    <xf numFmtId="0" fontId="0" fillId="0" borderId="0" xfId="0"/>
    <xf numFmtId="164" fontId="0" fillId="0" borderId="0" xfId="0" applyNumberFormat="1"/>
    <xf numFmtId="164" fontId="0" fillId="0" borderId="0" xfId="1" applyFont="1"/>
    <xf numFmtId="17" fontId="0" fillId="0" borderId="0" xfId="0" applyNumberFormat="1"/>
    <xf numFmtId="165" fontId="0" fillId="0" borderId="0" xfId="1" applyNumberFormat="1" applyFont="1"/>
    <xf numFmtId="164" fontId="0" fillId="0" borderId="6" xfId="1" applyFont="1" applyBorder="1" applyAlignment="1">
      <alignment vertical="center"/>
    </xf>
    <xf numFmtId="165" fontId="0" fillId="0" borderId="0" xfId="0" applyNumberFormat="1"/>
    <xf numFmtId="0" fontId="3" fillId="4" borderId="0" xfId="0" applyFont="1" applyFill="1" applyAlignment="1">
      <alignment horizontal="center"/>
    </xf>
    <xf numFmtId="164" fontId="4" fillId="2" borderId="1" xfId="1" applyFont="1" applyFill="1" applyBorder="1" applyAlignment="1">
      <alignment horizontal="center" vertical="center" wrapText="1"/>
    </xf>
    <xf numFmtId="164" fontId="4" fillId="2" borderId="2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2" applyFont="1" applyFill="1" applyBorder="1" applyAlignment="1">
      <alignment vertical="center" wrapText="1"/>
    </xf>
    <xf numFmtId="164" fontId="4" fillId="3" borderId="1" xfId="5" applyFont="1" applyFill="1" applyBorder="1" applyAlignment="1">
      <alignment horizontal="center" vertical="center" wrapText="1"/>
    </xf>
    <xf numFmtId="0" fontId="4" fillId="3" borderId="1" xfId="5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vertical="center" wrapText="1"/>
    </xf>
    <xf numFmtId="0" fontId="4" fillId="2" borderId="1" xfId="5" applyNumberFormat="1" applyFont="1" applyFill="1" applyBorder="1" applyAlignment="1">
      <alignment horizontal="center" vertical="center" wrapText="1"/>
    </xf>
    <xf numFmtId="164" fontId="4" fillId="2" borderId="1" xfId="5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vertical="center" wrapText="1"/>
    </xf>
    <xf numFmtId="164" fontId="4" fillId="2" borderId="2" xfId="5" applyFont="1" applyFill="1" applyBorder="1" applyAlignment="1">
      <alignment horizontal="center" vertical="center" wrapText="1"/>
    </xf>
    <xf numFmtId="0" fontId="4" fillId="3" borderId="2" xfId="5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/>
    <xf numFmtId="164" fontId="5" fillId="2" borderId="1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1" applyFont="1" applyFill="1" applyBorder="1" applyAlignment="1">
      <alignment horizontal="center" vertical="center" wrapText="1"/>
    </xf>
    <xf numFmtId="164" fontId="4" fillId="2" borderId="0" xfId="1" applyFont="1" applyFill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164" fontId="4" fillId="3" borderId="1" xfId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64" fontId="4" fillId="3" borderId="2" xfId="5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1" xfId="1" applyFont="1" applyBorder="1" applyAlignment="1">
      <alignment horizontal="center" vertical="center" wrapText="1"/>
    </xf>
    <xf numFmtId="164" fontId="4" fillId="0" borderId="2" xfId="1" applyFont="1" applyBorder="1" applyAlignment="1">
      <alignment horizontal="center" vertical="center" wrapText="1"/>
    </xf>
    <xf numFmtId="164" fontId="6" fillId="4" borderId="4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164" fontId="4" fillId="0" borderId="7" xfId="1" applyFont="1" applyBorder="1" applyAlignment="1">
      <alignment vertical="top" wrapText="1"/>
    </xf>
    <xf numFmtId="164" fontId="4" fillId="3" borderId="7" xfId="5" applyFont="1" applyFill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164" fontId="6" fillId="4" borderId="4" xfId="0" applyNumberFormat="1" applyFont="1" applyFill="1" applyBorder="1" applyAlignment="1">
      <alignment vertical="center"/>
    </xf>
  </cellXfs>
  <cellStyles count="7">
    <cellStyle name="Comma" xfId="1" builtinId="3"/>
    <cellStyle name="Comma 2" xfId="5" xr:uid="{3701733C-1CA7-44F9-BF1C-0C2D4454CD43}"/>
    <cellStyle name="Normal" xfId="0" builtinId="0"/>
    <cellStyle name="Normal 2" xfId="3" xr:uid="{69B030E2-DD4A-4C64-9EDB-47042734F5B5}"/>
    <cellStyle name="Normal 2 2" xfId="6" xr:uid="{30F795F0-BFA1-4FC7-9A9D-2467F3DD8AC1}"/>
    <cellStyle name="Normal 3" xfId="2" xr:uid="{92BD3994-01C9-40ED-B3E5-A3AD1FB4BA79}"/>
    <cellStyle name="Normal 3 2" xfId="4" xr:uid="{91FA04B6-3500-431D-AF43-3450DE81AE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[2]Sheet1!$C$13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[2]Sheet1!$B$14:$B$17</c:f>
              <c:strCache>
                <c:ptCount val="4"/>
                <c:pt idx="0">
                  <c:v>kmutnb</c:v>
                </c:pt>
                <c:pt idx="1">
                  <c:v>Gov</c:v>
                </c:pt>
                <c:pt idx="2">
                  <c:v>Private</c:v>
                </c:pt>
                <c:pt idx="3">
                  <c:v>total</c:v>
                </c:pt>
              </c:strCache>
            </c:strRef>
          </c:cat>
          <c:val>
            <c:numRef>
              <c:f>[2]Sheet1!$C$14:$C$17</c:f>
              <c:numCache>
                <c:formatCode>General</c:formatCode>
                <c:ptCount val="4"/>
                <c:pt idx="0">
                  <c:v>373360</c:v>
                </c:pt>
                <c:pt idx="1">
                  <c:v>63240</c:v>
                </c:pt>
                <c:pt idx="2">
                  <c:v>14020</c:v>
                </c:pt>
                <c:pt idx="3">
                  <c:v>450620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9-4ACC-945F-4D95BCC515ED}"/>
            </c:ext>
          </c:extLst>
        </c:ser>
        <c:ser>
          <c:idx val="1"/>
          <c:order val="1"/>
          <c:tx>
            <c:strRef>
              <c:f>[2]Sheet1!$D$13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[2]Sheet1!$B$14:$B$17</c:f>
              <c:strCache>
                <c:ptCount val="4"/>
                <c:pt idx="0">
                  <c:v>kmutnb</c:v>
                </c:pt>
                <c:pt idx="1">
                  <c:v>Gov</c:v>
                </c:pt>
                <c:pt idx="2">
                  <c:v>Private</c:v>
                </c:pt>
                <c:pt idx="3">
                  <c:v>total</c:v>
                </c:pt>
              </c:strCache>
            </c:strRef>
          </c:cat>
          <c:val>
            <c:numRef>
              <c:f>[2]Sheet1!$D$14:$D$17</c:f>
              <c:numCache>
                <c:formatCode>General</c:formatCode>
                <c:ptCount val="4"/>
                <c:pt idx="0">
                  <c:v>258990</c:v>
                </c:pt>
                <c:pt idx="1">
                  <c:v>329890</c:v>
                </c:pt>
                <c:pt idx="2">
                  <c:v>87350</c:v>
                </c:pt>
                <c:pt idx="3">
                  <c:v>676230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9-4ACC-945F-4D95BCC515ED}"/>
            </c:ext>
          </c:extLst>
        </c:ser>
        <c:ser>
          <c:idx val="2"/>
          <c:order val="2"/>
          <c:tx>
            <c:strRef>
              <c:f>[2]Sheet1!$E$13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[2]Sheet1!$B$14:$B$17</c:f>
              <c:strCache>
                <c:ptCount val="4"/>
                <c:pt idx="0">
                  <c:v>kmutnb</c:v>
                </c:pt>
                <c:pt idx="1">
                  <c:v>Gov</c:v>
                </c:pt>
                <c:pt idx="2">
                  <c:v>Private</c:v>
                </c:pt>
                <c:pt idx="3">
                  <c:v>total</c:v>
                </c:pt>
              </c:strCache>
            </c:strRef>
          </c:cat>
          <c:val>
            <c:numRef>
              <c:f>[2]Sheet1!$E$14:$E$17</c:f>
              <c:numCache>
                <c:formatCode>General</c:formatCode>
                <c:ptCount val="4"/>
                <c:pt idx="0">
                  <c:v>340470</c:v>
                </c:pt>
                <c:pt idx="1">
                  <c:v>247290</c:v>
                </c:pt>
                <c:pt idx="2">
                  <c:v>112800</c:v>
                </c:pt>
                <c:pt idx="3">
                  <c:v>700560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59-4ACC-945F-4D95BCC5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121888"/>
        <c:axId val="831122248"/>
      </c:barChart>
      <c:catAx>
        <c:axId val="83112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22248"/>
        <c:crosses val="autoZero"/>
        <c:auto val="1"/>
        <c:lblAlgn val="ctr"/>
        <c:lblOffset val="100"/>
        <c:noMultiLvlLbl val="0"/>
      </c:catAx>
      <c:valAx>
        <c:axId val="83112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21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[2]Sheet1!$C$29</c:f>
              <c:strCache>
                <c:ptCount val="1"/>
                <c:pt idx="0">
                  <c:v>KMUTNB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[2]Sheet1!$B$30:$B$32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[2]Sheet1!$C$30:$C$32</c:f>
              <c:numCache>
                <c:formatCode>General</c:formatCode>
                <c:ptCount val="3"/>
                <c:pt idx="0">
                  <c:v>373360</c:v>
                </c:pt>
                <c:pt idx="1">
                  <c:v>258990</c:v>
                </c:pt>
                <c:pt idx="2">
                  <c:v>340470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A-4127-B941-B740F67FB3F5}"/>
            </c:ext>
          </c:extLst>
        </c:ser>
        <c:ser>
          <c:idx val="1"/>
          <c:order val="1"/>
          <c:tx>
            <c:strRef>
              <c:f>[2]Sheet1!$D$29</c:f>
              <c:strCache>
                <c:ptCount val="1"/>
                <c:pt idx="0">
                  <c:v>GOV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[2]Sheet1!$B$30:$B$32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[2]Sheet1!$D$30:$D$32</c:f>
              <c:numCache>
                <c:formatCode>General</c:formatCode>
                <c:ptCount val="3"/>
                <c:pt idx="0">
                  <c:v>63240</c:v>
                </c:pt>
                <c:pt idx="1">
                  <c:v>329890</c:v>
                </c:pt>
                <c:pt idx="2">
                  <c:v>247290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A-4127-B941-B740F67FB3F5}"/>
            </c:ext>
          </c:extLst>
        </c:ser>
        <c:ser>
          <c:idx val="2"/>
          <c:order val="2"/>
          <c:tx>
            <c:strRef>
              <c:f>[2]Sheet1!$E$29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[2]Sheet1!$B$30:$B$32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[2]Sheet1!$E$30:$E$32</c:f>
              <c:numCache>
                <c:formatCode>General</c:formatCode>
                <c:ptCount val="3"/>
                <c:pt idx="0">
                  <c:v>14020</c:v>
                </c:pt>
                <c:pt idx="1">
                  <c:v>87350</c:v>
                </c:pt>
                <c:pt idx="2">
                  <c:v>112800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A-4127-B941-B740F67FB3F5}"/>
            </c:ext>
          </c:extLst>
        </c:ser>
        <c:ser>
          <c:idx val="3"/>
          <c:order val="3"/>
          <c:tx>
            <c:strRef>
              <c:f>[2]Sheet1!$F$29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[2]Sheet1!$B$30:$B$32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[2]Sheet1!$F$30:$F$32</c:f>
              <c:numCache>
                <c:formatCode>General</c:formatCode>
                <c:ptCount val="3"/>
                <c:pt idx="0">
                  <c:v>450620</c:v>
                </c:pt>
                <c:pt idx="1">
                  <c:v>676230</c:v>
                </c:pt>
                <c:pt idx="2">
                  <c:v>700560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A-4127-B941-B740F67FB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144928"/>
        <c:axId val="831151408"/>
      </c:barChart>
      <c:catAx>
        <c:axId val="83114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51408"/>
        <c:crosses val="autoZero"/>
        <c:auto val="1"/>
        <c:lblAlgn val="ctr"/>
        <c:lblOffset val="100"/>
        <c:noMultiLvlLbl val="0"/>
      </c:catAx>
      <c:valAx>
        <c:axId val="83115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449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[2]Sheet1!$A$2</c:f>
              <c:strCache>
                <c:ptCount val="1"/>
                <c:pt idx="0">
                  <c:v>Kmutnb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[2]Sheet1!$B$1:$AN$1</c:f>
              <c:numCache>
                <c:formatCode>General</c:formatCode>
                <c:ptCount val="39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</c:numCache>
            </c:numRef>
          </c:cat>
          <c:val>
            <c:numRef>
              <c:f>[2]Sheet1!$B$2:$AN$2</c:f>
              <c:numCache>
                <c:formatCode>General</c:formatCode>
                <c:ptCount val="39"/>
                <c:pt idx="0">
                  <c:v>0</c:v>
                </c:pt>
                <c:pt idx="1">
                  <c:v>7400</c:v>
                </c:pt>
                <c:pt idx="2">
                  <c:v>0</c:v>
                </c:pt>
                <c:pt idx="3">
                  <c:v>0</c:v>
                </c:pt>
                <c:pt idx="4">
                  <c:v>134490</c:v>
                </c:pt>
                <c:pt idx="5">
                  <c:v>6420</c:v>
                </c:pt>
                <c:pt idx="6">
                  <c:v>27980</c:v>
                </c:pt>
                <c:pt idx="7">
                  <c:v>129560</c:v>
                </c:pt>
                <c:pt idx="8">
                  <c:v>44350</c:v>
                </c:pt>
                <c:pt idx="9">
                  <c:v>8770</c:v>
                </c:pt>
                <c:pt idx="10">
                  <c:v>14390</c:v>
                </c:pt>
                <c:pt idx="11">
                  <c:v>0</c:v>
                </c:pt>
                <c:pt idx="12">
                  <c:v>25050</c:v>
                </c:pt>
                <c:pt idx="13">
                  <c:v>23020</c:v>
                </c:pt>
                <c:pt idx="14">
                  <c:v>300</c:v>
                </c:pt>
                <c:pt idx="15">
                  <c:v>34230</c:v>
                </c:pt>
                <c:pt idx="16">
                  <c:v>55440</c:v>
                </c:pt>
                <c:pt idx="17">
                  <c:v>43320</c:v>
                </c:pt>
                <c:pt idx="18">
                  <c:v>16340</c:v>
                </c:pt>
                <c:pt idx="19">
                  <c:v>9000</c:v>
                </c:pt>
                <c:pt idx="20">
                  <c:v>27600</c:v>
                </c:pt>
                <c:pt idx="21">
                  <c:v>9750</c:v>
                </c:pt>
                <c:pt idx="22">
                  <c:v>14940</c:v>
                </c:pt>
                <c:pt idx="23">
                  <c:v>0</c:v>
                </c:pt>
                <c:pt idx="24">
                  <c:v>24750</c:v>
                </c:pt>
                <c:pt idx="25">
                  <c:v>14650</c:v>
                </c:pt>
                <c:pt idx="26">
                  <c:v>12630</c:v>
                </c:pt>
                <c:pt idx="27">
                  <c:v>9450</c:v>
                </c:pt>
                <c:pt idx="28">
                  <c:v>14800</c:v>
                </c:pt>
                <c:pt idx="29">
                  <c:v>32870</c:v>
                </c:pt>
                <c:pt idx="30">
                  <c:v>38150</c:v>
                </c:pt>
                <c:pt idx="31">
                  <c:v>53080</c:v>
                </c:pt>
                <c:pt idx="32">
                  <c:v>57740</c:v>
                </c:pt>
                <c:pt idx="33">
                  <c:v>56700</c:v>
                </c:pt>
                <c:pt idx="34">
                  <c:v>25650</c:v>
                </c:pt>
                <c:pt idx="35">
                  <c:v>0</c:v>
                </c:pt>
                <c:pt idx="36">
                  <c:v>22400</c:v>
                </c:pt>
                <c:pt idx="37">
                  <c:v>17650</c:v>
                </c:pt>
                <c:pt idx="38">
                  <c:v>13250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B7-421B-8DFE-09AEC7158BB3}"/>
            </c:ext>
          </c:extLst>
        </c:ser>
        <c:ser>
          <c:idx val="1"/>
          <c:order val="1"/>
          <c:tx>
            <c:strRef>
              <c:f>[2]Sheet1!$A$3</c:f>
              <c:strCache>
                <c:ptCount val="1"/>
                <c:pt idx="0">
                  <c:v>Gov section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[2]Sheet1!$B$1:$AN$1</c:f>
              <c:numCache>
                <c:formatCode>General</c:formatCode>
                <c:ptCount val="39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</c:numCache>
            </c:numRef>
          </c:cat>
          <c:val>
            <c:numRef>
              <c:f>[2]Sheet1!$B$3:$AN$3</c:f>
              <c:numCache>
                <c:formatCode>General</c:formatCode>
                <c:ptCount val="39"/>
                <c:pt idx="0">
                  <c:v>0</c:v>
                </c:pt>
                <c:pt idx="1">
                  <c:v>2400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2700</c:v>
                </c:pt>
                <c:pt idx="6">
                  <c:v>20000</c:v>
                </c:pt>
                <c:pt idx="7">
                  <c:v>3800</c:v>
                </c:pt>
                <c:pt idx="8">
                  <c:v>25440</c:v>
                </c:pt>
                <c:pt idx="9">
                  <c:v>8900</c:v>
                </c:pt>
                <c:pt idx="10">
                  <c:v>0</c:v>
                </c:pt>
                <c:pt idx="11">
                  <c:v>0</c:v>
                </c:pt>
                <c:pt idx="12">
                  <c:v>2700</c:v>
                </c:pt>
                <c:pt idx="13">
                  <c:v>13200</c:v>
                </c:pt>
                <c:pt idx="14">
                  <c:v>5400</c:v>
                </c:pt>
                <c:pt idx="15">
                  <c:v>16800</c:v>
                </c:pt>
                <c:pt idx="16">
                  <c:v>18600</c:v>
                </c:pt>
                <c:pt idx="17">
                  <c:v>7680</c:v>
                </c:pt>
                <c:pt idx="18">
                  <c:v>34270</c:v>
                </c:pt>
                <c:pt idx="19">
                  <c:v>171910</c:v>
                </c:pt>
                <c:pt idx="20">
                  <c:v>25040</c:v>
                </c:pt>
                <c:pt idx="21">
                  <c:v>26440</c:v>
                </c:pt>
                <c:pt idx="22">
                  <c:v>7850</c:v>
                </c:pt>
                <c:pt idx="23">
                  <c:v>0</c:v>
                </c:pt>
                <c:pt idx="24">
                  <c:v>23270</c:v>
                </c:pt>
                <c:pt idx="25">
                  <c:v>13680</c:v>
                </c:pt>
                <c:pt idx="26">
                  <c:v>4600</c:v>
                </c:pt>
                <c:pt idx="27">
                  <c:v>15180</c:v>
                </c:pt>
                <c:pt idx="28">
                  <c:v>0</c:v>
                </c:pt>
                <c:pt idx="29">
                  <c:v>600</c:v>
                </c:pt>
                <c:pt idx="30">
                  <c:v>3300</c:v>
                </c:pt>
                <c:pt idx="31">
                  <c:v>45360</c:v>
                </c:pt>
                <c:pt idx="32">
                  <c:v>9000</c:v>
                </c:pt>
                <c:pt idx="33">
                  <c:v>127600</c:v>
                </c:pt>
                <c:pt idx="34">
                  <c:v>4700</c:v>
                </c:pt>
                <c:pt idx="35">
                  <c:v>0</c:v>
                </c:pt>
                <c:pt idx="36">
                  <c:v>6750</c:v>
                </c:pt>
                <c:pt idx="37">
                  <c:v>0</c:v>
                </c:pt>
                <c:pt idx="38">
                  <c:v>10850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B7-421B-8DFE-09AEC7158BB3}"/>
            </c:ext>
          </c:extLst>
        </c:ser>
        <c:ser>
          <c:idx val="2"/>
          <c:order val="2"/>
          <c:tx>
            <c:strRef>
              <c:f>[2]Sheet1!$A$4</c:f>
              <c:strCache>
                <c:ptCount val="1"/>
                <c:pt idx="0">
                  <c:v>Private section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[2]Sheet1!$B$1:$AN$1</c:f>
              <c:numCache>
                <c:formatCode>General</c:formatCode>
                <c:ptCount val="39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</c:numCache>
            </c:numRef>
          </c:cat>
          <c:val>
            <c:numRef>
              <c:f>[2]Sheet1!$B$4:$AN$4</c:f>
              <c:numCache>
                <c:formatCode>General</c:formatCode>
                <c:ptCount val="39"/>
                <c:pt idx="0">
                  <c:v>0</c:v>
                </c:pt>
                <c:pt idx="1">
                  <c:v>1000</c:v>
                </c:pt>
                <c:pt idx="2">
                  <c:v>0</c:v>
                </c:pt>
                <c:pt idx="3">
                  <c:v>2520</c:v>
                </c:pt>
                <c:pt idx="4">
                  <c:v>1000</c:v>
                </c:pt>
                <c:pt idx="5">
                  <c:v>0</c:v>
                </c:pt>
                <c:pt idx="6">
                  <c:v>0</c:v>
                </c:pt>
                <c:pt idx="7">
                  <c:v>2000</c:v>
                </c:pt>
                <c:pt idx="8">
                  <c:v>1000</c:v>
                </c:pt>
                <c:pt idx="9">
                  <c:v>6500</c:v>
                </c:pt>
                <c:pt idx="10">
                  <c:v>0</c:v>
                </c:pt>
                <c:pt idx="11">
                  <c:v>0</c:v>
                </c:pt>
                <c:pt idx="12">
                  <c:v>11000</c:v>
                </c:pt>
                <c:pt idx="13">
                  <c:v>16000</c:v>
                </c:pt>
                <c:pt idx="14">
                  <c:v>0</c:v>
                </c:pt>
                <c:pt idx="15">
                  <c:v>5000</c:v>
                </c:pt>
                <c:pt idx="16">
                  <c:v>8000</c:v>
                </c:pt>
                <c:pt idx="17">
                  <c:v>6000</c:v>
                </c:pt>
                <c:pt idx="18">
                  <c:v>6000</c:v>
                </c:pt>
                <c:pt idx="19">
                  <c:v>12000</c:v>
                </c:pt>
                <c:pt idx="20">
                  <c:v>8000</c:v>
                </c:pt>
                <c:pt idx="21">
                  <c:v>1350</c:v>
                </c:pt>
                <c:pt idx="22">
                  <c:v>14000</c:v>
                </c:pt>
                <c:pt idx="23">
                  <c:v>0</c:v>
                </c:pt>
                <c:pt idx="24">
                  <c:v>4500</c:v>
                </c:pt>
                <c:pt idx="25">
                  <c:v>19000</c:v>
                </c:pt>
                <c:pt idx="26">
                  <c:v>11500</c:v>
                </c:pt>
                <c:pt idx="27">
                  <c:v>10500</c:v>
                </c:pt>
                <c:pt idx="28">
                  <c:v>6000</c:v>
                </c:pt>
                <c:pt idx="29">
                  <c:v>16500</c:v>
                </c:pt>
                <c:pt idx="30">
                  <c:v>0</c:v>
                </c:pt>
                <c:pt idx="31">
                  <c:v>0</c:v>
                </c:pt>
                <c:pt idx="32">
                  <c:v>17800</c:v>
                </c:pt>
                <c:pt idx="33">
                  <c:v>25000</c:v>
                </c:pt>
                <c:pt idx="34">
                  <c:v>2000</c:v>
                </c:pt>
                <c:pt idx="35">
                  <c:v>0</c:v>
                </c:pt>
                <c:pt idx="36">
                  <c:v>5500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B7-421B-8DFE-09AEC7158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161848"/>
        <c:axId val="831159688"/>
      </c:lineChart>
      <c:catAx>
        <c:axId val="831161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59688"/>
        <c:crosses val="autoZero"/>
        <c:auto val="1"/>
        <c:lblAlgn val="ctr"/>
        <c:lblOffset val="100"/>
        <c:noMultiLvlLbl val="0"/>
      </c:catAx>
      <c:valAx>
        <c:axId val="83115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6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[2]Sheet1!$A$48</c:f>
              <c:strCache>
                <c:ptCount val="1"/>
                <c:pt idx="0">
                  <c:v>total per 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[2]Sheet1!$B$47:$AN$47</c:f>
              <c:numCache>
                <c:formatCode>General</c:formatCode>
                <c:ptCount val="39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</c:numCache>
            </c:numRef>
          </c:cat>
          <c:val>
            <c:numRef>
              <c:f>[2]Sheet1!$B$48:$AN$48</c:f>
              <c:numCache>
                <c:formatCode>General</c:formatCode>
                <c:ptCount val="39"/>
                <c:pt idx="0">
                  <c:v>0</c:v>
                </c:pt>
                <c:pt idx="1">
                  <c:v>10800</c:v>
                </c:pt>
                <c:pt idx="2">
                  <c:v>0</c:v>
                </c:pt>
                <c:pt idx="3">
                  <c:v>2520</c:v>
                </c:pt>
                <c:pt idx="4">
                  <c:v>135490</c:v>
                </c:pt>
                <c:pt idx="5">
                  <c:v>9120</c:v>
                </c:pt>
                <c:pt idx="6">
                  <c:v>47980</c:v>
                </c:pt>
                <c:pt idx="7">
                  <c:v>135360</c:v>
                </c:pt>
                <c:pt idx="8">
                  <c:v>70790</c:v>
                </c:pt>
                <c:pt idx="9">
                  <c:v>24170</c:v>
                </c:pt>
                <c:pt idx="10">
                  <c:v>14390</c:v>
                </c:pt>
                <c:pt idx="11">
                  <c:v>0</c:v>
                </c:pt>
                <c:pt idx="12">
                  <c:v>38750</c:v>
                </c:pt>
                <c:pt idx="13">
                  <c:v>52220</c:v>
                </c:pt>
                <c:pt idx="14">
                  <c:v>5700</c:v>
                </c:pt>
                <c:pt idx="15">
                  <c:v>56030</c:v>
                </c:pt>
                <c:pt idx="16">
                  <c:v>82040</c:v>
                </c:pt>
                <c:pt idx="17">
                  <c:v>57000</c:v>
                </c:pt>
                <c:pt idx="18">
                  <c:v>56610</c:v>
                </c:pt>
                <c:pt idx="19">
                  <c:v>192910</c:v>
                </c:pt>
                <c:pt idx="20">
                  <c:v>60640</c:v>
                </c:pt>
                <c:pt idx="21">
                  <c:v>37540</c:v>
                </c:pt>
                <c:pt idx="22">
                  <c:v>36790</c:v>
                </c:pt>
                <c:pt idx="23">
                  <c:v>0</c:v>
                </c:pt>
                <c:pt idx="24">
                  <c:v>52520</c:v>
                </c:pt>
                <c:pt idx="25">
                  <c:v>47330</c:v>
                </c:pt>
                <c:pt idx="26">
                  <c:v>28730</c:v>
                </c:pt>
                <c:pt idx="27">
                  <c:v>35130</c:v>
                </c:pt>
                <c:pt idx="28">
                  <c:v>20800</c:v>
                </c:pt>
                <c:pt idx="29">
                  <c:v>49970</c:v>
                </c:pt>
                <c:pt idx="30">
                  <c:v>41450</c:v>
                </c:pt>
                <c:pt idx="31">
                  <c:v>98440</c:v>
                </c:pt>
                <c:pt idx="32">
                  <c:v>84540</c:v>
                </c:pt>
                <c:pt idx="33">
                  <c:v>209300</c:v>
                </c:pt>
                <c:pt idx="34">
                  <c:v>32350</c:v>
                </c:pt>
                <c:pt idx="35">
                  <c:v>0</c:v>
                </c:pt>
                <c:pt idx="36">
                  <c:v>34650</c:v>
                </c:pt>
                <c:pt idx="37">
                  <c:v>17650</c:v>
                </c:pt>
                <c:pt idx="38">
                  <c:v>24100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B1-BD0F-808D4A84E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170128"/>
        <c:axId val="831172288"/>
      </c:lineChart>
      <c:catAx>
        <c:axId val="83117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72288"/>
        <c:crosses val="autoZero"/>
        <c:auto val="1"/>
        <c:lblAlgn val="ctr"/>
        <c:lblOffset val="100"/>
        <c:noMultiLvlLbl val="0"/>
      </c:catAx>
      <c:valAx>
        <c:axId val="8311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7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[2]Sheet1!$C$34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[2]Sheet1!$B$35:$B$37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[2]Sheet1!$C$35:$C$37</c:f>
              <c:numCache>
                <c:formatCode>General</c:formatCode>
                <c:ptCount val="3"/>
                <c:pt idx="0">
                  <c:v>450620</c:v>
                </c:pt>
                <c:pt idx="1">
                  <c:v>676230</c:v>
                </c:pt>
                <c:pt idx="2">
                  <c:v>700560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40D-AA32-F8A543044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186688"/>
        <c:axId val="831187048"/>
      </c:barChart>
      <c:catAx>
        <c:axId val="83118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87048"/>
        <c:crosses val="autoZero"/>
        <c:auto val="1"/>
        <c:lblAlgn val="ctr"/>
        <c:lblOffset val="100"/>
        <c:noMultiLvlLbl val="0"/>
      </c:catAx>
      <c:valAx>
        <c:axId val="83118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8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10</xdr:row>
      <xdr:rowOff>90487</xdr:rowOff>
    </xdr:from>
    <xdr:to>
      <xdr:col>15</xdr:col>
      <xdr:colOff>114300</xdr:colOff>
      <xdr:row>24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00EC8-0DBF-472C-8F58-58F5E9EE6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142875</xdr:colOff>
      <xdr:row>29</xdr:row>
      <xdr:rowOff>85725</xdr:rowOff>
    </xdr:from>
    <xdr:to>
      <xdr:col>16</xdr:col>
      <xdr:colOff>47625</xdr:colOff>
      <xdr:row>44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372572-56E4-48F2-A777-ED87CF755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438151</xdr:colOff>
      <xdr:row>10</xdr:row>
      <xdr:rowOff>80962</xdr:rowOff>
    </xdr:from>
    <xdr:to>
      <xdr:col>30</xdr:col>
      <xdr:colOff>647700</xdr:colOff>
      <xdr:row>24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2F3D77-FC1C-4642-97C8-CB56C7B23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38100</xdr:colOff>
      <xdr:row>29</xdr:row>
      <xdr:rowOff>166687</xdr:rowOff>
    </xdr:from>
    <xdr:to>
      <xdr:col>40</xdr:col>
      <xdr:colOff>419100</xdr:colOff>
      <xdr:row>44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4B18DA-6471-43E6-8079-0C42AE044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857250</xdr:colOff>
      <xdr:row>50</xdr:row>
      <xdr:rowOff>128587</xdr:rowOff>
    </xdr:from>
    <xdr:to>
      <xdr:col>6</xdr:col>
      <xdr:colOff>276225</xdr:colOff>
      <xdr:row>65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E2E0B8-89B0-4ED7-AB81-D4799707B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00;&#3634;&#3609;&#3586;&#3657;&#3629;&#3617;&#3641;&#3621;&#3607;&#3640;&#3609;&#3616;&#3634;&#3618;&#3609;&#3629;&#3585;(&#3619;&#3623;&#361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000%20Faculty%20works\SITT\conclude%20202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"/>
      <sheetName val="DATA"/>
      <sheetName val="สูตร AUTO"/>
      <sheetName val="Sheet1"/>
      <sheetName val="สรุปปีงบประมาณ"/>
      <sheetName val="ปิดโครงการ"/>
      <sheetName val="Dash board"/>
      <sheetName val="PIVOT"/>
      <sheetName val="ปีงบประมาณ (21OCT2022))"/>
      <sheetName val="ปีปฏิทิน"/>
    </sheetNames>
    <sheetDataSet>
      <sheetData sheetId="0" refreshError="1">
        <row r="16">
          <cell r="B16">
            <v>42278</v>
          </cell>
          <cell r="C16">
            <v>2559</v>
          </cell>
        </row>
        <row r="17">
          <cell r="B17">
            <v>42644</v>
          </cell>
          <cell r="C17">
            <v>2560</v>
          </cell>
        </row>
        <row r="18">
          <cell r="B18">
            <v>43009</v>
          </cell>
          <cell r="C18">
            <v>2561</v>
          </cell>
        </row>
        <row r="19">
          <cell r="B19">
            <v>43374</v>
          </cell>
          <cell r="C19">
            <v>2562</v>
          </cell>
        </row>
        <row r="20">
          <cell r="B20">
            <v>43739</v>
          </cell>
          <cell r="C20">
            <v>2563</v>
          </cell>
        </row>
        <row r="21">
          <cell r="B21">
            <v>44105</v>
          </cell>
          <cell r="C21">
            <v>2564</v>
          </cell>
        </row>
        <row r="22">
          <cell r="B22">
            <v>44470</v>
          </cell>
          <cell r="C22">
            <v>2565</v>
          </cell>
        </row>
        <row r="23">
          <cell r="B23">
            <v>44835</v>
          </cell>
          <cell r="C23">
            <v>2566</v>
          </cell>
        </row>
        <row r="24">
          <cell r="B24">
            <v>45200</v>
          </cell>
          <cell r="C24">
            <v>2567</v>
          </cell>
        </row>
        <row r="25">
          <cell r="B25">
            <v>45566</v>
          </cell>
          <cell r="C25">
            <v>2568</v>
          </cell>
        </row>
        <row r="26">
          <cell r="B26">
            <v>45931</v>
          </cell>
          <cell r="C26">
            <v>2569</v>
          </cell>
        </row>
        <row r="27">
          <cell r="B27">
            <v>46296</v>
          </cell>
          <cell r="C27">
            <v>2570</v>
          </cell>
        </row>
        <row r="28">
          <cell r="B28">
            <v>46661</v>
          </cell>
          <cell r="C28">
            <v>2571</v>
          </cell>
        </row>
        <row r="29">
          <cell r="B29">
            <v>47027</v>
          </cell>
          <cell r="C29">
            <v>2572</v>
          </cell>
        </row>
        <row r="30">
          <cell r="B30">
            <v>47392</v>
          </cell>
          <cell r="C30">
            <v>2573</v>
          </cell>
        </row>
        <row r="31">
          <cell r="B31">
            <v>47757</v>
          </cell>
          <cell r="C31">
            <v>2574</v>
          </cell>
        </row>
        <row r="32">
          <cell r="B32">
            <v>48122</v>
          </cell>
          <cell r="C32">
            <v>2575</v>
          </cell>
        </row>
        <row r="33">
          <cell r="B33">
            <v>48488</v>
          </cell>
          <cell r="C33">
            <v>2576</v>
          </cell>
        </row>
        <row r="34">
          <cell r="B34">
            <v>48853</v>
          </cell>
          <cell r="C34">
            <v>2577</v>
          </cell>
        </row>
        <row r="35">
          <cell r="B35">
            <v>49218</v>
          </cell>
          <cell r="C35">
            <v>2578</v>
          </cell>
        </row>
        <row r="36">
          <cell r="B36">
            <v>49583</v>
          </cell>
          <cell r="C36">
            <v>2579</v>
          </cell>
        </row>
        <row r="37">
          <cell r="B37">
            <v>49949</v>
          </cell>
          <cell r="C37">
            <v>2580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>
            <v>44470</v>
          </cell>
          <cell r="C1">
            <v>44501</v>
          </cell>
          <cell r="D1">
            <v>44531</v>
          </cell>
          <cell r="E1">
            <v>44562</v>
          </cell>
          <cell r="F1">
            <v>44593</v>
          </cell>
          <cell r="G1">
            <v>44621</v>
          </cell>
          <cell r="H1">
            <v>44652</v>
          </cell>
          <cell r="I1">
            <v>44682</v>
          </cell>
          <cell r="J1">
            <v>44713</v>
          </cell>
          <cell r="K1">
            <v>44743</v>
          </cell>
          <cell r="L1">
            <v>44774</v>
          </cell>
          <cell r="M1">
            <v>44805</v>
          </cell>
          <cell r="N1">
            <v>44835</v>
          </cell>
          <cell r="O1">
            <v>44866</v>
          </cell>
          <cell r="P1">
            <v>44896</v>
          </cell>
          <cell r="Q1">
            <v>44927</v>
          </cell>
          <cell r="R1">
            <v>44958</v>
          </cell>
          <cell r="S1">
            <v>44986</v>
          </cell>
          <cell r="T1">
            <v>45017</v>
          </cell>
          <cell r="U1">
            <v>45047</v>
          </cell>
          <cell r="V1">
            <v>45078</v>
          </cell>
          <cell r="W1">
            <v>45108</v>
          </cell>
          <cell r="X1">
            <v>45139</v>
          </cell>
          <cell r="Y1">
            <v>45170</v>
          </cell>
          <cell r="Z1">
            <v>45200</v>
          </cell>
          <cell r="AA1">
            <v>45231</v>
          </cell>
          <cell r="AB1">
            <v>45261</v>
          </cell>
          <cell r="AC1">
            <v>45292</v>
          </cell>
          <cell r="AD1">
            <v>45323</v>
          </cell>
          <cell r="AE1">
            <v>45352</v>
          </cell>
          <cell r="AF1">
            <v>45383</v>
          </cell>
          <cell r="AG1">
            <v>45413</v>
          </cell>
          <cell r="AH1">
            <v>45444</v>
          </cell>
          <cell r="AI1">
            <v>45474</v>
          </cell>
          <cell r="AJ1">
            <v>45505</v>
          </cell>
          <cell r="AK1">
            <v>45536</v>
          </cell>
          <cell r="AL1">
            <v>45566</v>
          </cell>
          <cell r="AM1">
            <v>45597</v>
          </cell>
          <cell r="AN1">
            <v>45627</v>
          </cell>
        </row>
        <row r="2">
          <cell r="A2" t="str">
            <v>Kmutnb</v>
          </cell>
          <cell r="B2" t="str">
            <v>-</v>
          </cell>
          <cell r="C2">
            <v>7400</v>
          </cell>
          <cell r="D2">
            <v>0</v>
          </cell>
          <cell r="E2">
            <v>0</v>
          </cell>
          <cell r="F2">
            <v>134490</v>
          </cell>
          <cell r="G2">
            <v>6420</v>
          </cell>
          <cell r="H2">
            <v>27980</v>
          </cell>
          <cell r="I2">
            <v>129560</v>
          </cell>
          <cell r="J2">
            <v>44350</v>
          </cell>
          <cell r="K2">
            <v>8770</v>
          </cell>
          <cell r="L2">
            <v>14390</v>
          </cell>
          <cell r="M2">
            <v>0</v>
          </cell>
          <cell r="N2">
            <v>25050</v>
          </cell>
          <cell r="O2">
            <v>23020</v>
          </cell>
          <cell r="P2">
            <v>300</v>
          </cell>
          <cell r="Q2">
            <v>34230</v>
          </cell>
          <cell r="R2">
            <v>55440</v>
          </cell>
          <cell r="S2">
            <v>43320</v>
          </cell>
          <cell r="T2">
            <v>16340</v>
          </cell>
          <cell r="U2">
            <v>9000</v>
          </cell>
          <cell r="V2">
            <v>27600</v>
          </cell>
          <cell r="W2">
            <v>9750</v>
          </cell>
          <cell r="X2">
            <v>14940</v>
          </cell>
          <cell r="Y2">
            <v>0</v>
          </cell>
          <cell r="Z2">
            <v>24750</v>
          </cell>
          <cell r="AA2">
            <v>14650</v>
          </cell>
          <cell r="AB2">
            <v>12630</v>
          </cell>
          <cell r="AC2">
            <v>9450</v>
          </cell>
          <cell r="AD2">
            <v>14800</v>
          </cell>
          <cell r="AE2">
            <v>32870</v>
          </cell>
          <cell r="AF2">
            <v>38150</v>
          </cell>
          <cell r="AG2">
            <v>53080</v>
          </cell>
          <cell r="AH2">
            <v>57740</v>
          </cell>
          <cell r="AI2">
            <v>56700</v>
          </cell>
          <cell r="AJ2">
            <v>25650</v>
          </cell>
          <cell r="AK2">
            <v>0</v>
          </cell>
          <cell r="AL2">
            <v>22400</v>
          </cell>
          <cell r="AM2">
            <v>17650</v>
          </cell>
          <cell r="AN2">
            <v>13250</v>
          </cell>
        </row>
        <row r="3">
          <cell r="A3" t="str">
            <v xml:space="preserve">Gov section </v>
          </cell>
          <cell r="B3">
            <v>0</v>
          </cell>
          <cell r="C3">
            <v>2400</v>
          </cell>
          <cell r="D3">
            <v>0</v>
          </cell>
          <cell r="E3">
            <v>0</v>
          </cell>
          <cell r="F3">
            <v>0</v>
          </cell>
          <cell r="G3">
            <v>2700</v>
          </cell>
          <cell r="H3">
            <v>20000</v>
          </cell>
          <cell r="I3">
            <v>3800</v>
          </cell>
          <cell r="J3">
            <v>25440</v>
          </cell>
          <cell r="K3">
            <v>8900</v>
          </cell>
          <cell r="L3">
            <v>0</v>
          </cell>
          <cell r="M3">
            <v>0</v>
          </cell>
          <cell r="N3">
            <v>2700</v>
          </cell>
          <cell r="O3">
            <v>13200</v>
          </cell>
          <cell r="P3">
            <v>5400</v>
          </cell>
          <cell r="Q3">
            <v>16800</v>
          </cell>
          <cell r="R3">
            <v>18600</v>
          </cell>
          <cell r="S3">
            <v>7680</v>
          </cell>
          <cell r="T3">
            <v>34270</v>
          </cell>
          <cell r="U3">
            <v>171910</v>
          </cell>
          <cell r="V3">
            <v>25040</v>
          </cell>
          <cell r="W3">
            <v>26440</v>
          </cell>
          <cell r="X3">
            <v>7850</v>
          </cell>
          <cell r="Y3">
            <v>0</v>
          </cell>
          <cell r="Z3">
            <v>23270</v>
          </cell>
          <cell r="AA3">
            <v>13680</v>
          </cell>
          <cell r="AB3">
            <v>4600</v>
          </cell>
          <cell r="AC3">
            <v>15180</v>
          </cell>
          <cell r="AD3">
            <v>0</v>
          </cell>
          <cell r="AE3">
            <v>600</v>
          </cell>
          <cell r="AF3">
            <v>3300</v>
          </cell>
          <cell r="AG3">
            <v>45360</v>
          </cell>
          <cell r="AH3">
            <v>9000</v>
          </cell>
          <cell r="AI3">
            <v>127600</v>
          </cell>
          <cell r="AJ3">
            <v>4700</v>
          </cell>
          <cell r="AK3">
            <v>0</v>
          </cell>
          <cell r="AL3">
            <v>6750</v>
          </cell>
          <cell r="AM3">
            <v>0</v>
          </cell>
          <cell r="AN3">
            <v>10850</v>
          </cell>
        </row>
        <row r="4">
          <cell r="A4" t="str">
            <v xml:space="preserve">Private section </v>
          </cell>
          <cell r="B4">
            <v>0</v>
          </cell>
          <cell r="C4">
            <v>1000</v>
          </cell>
          <cell r="D4">
            <v>0</v>
          </cell>
          <cell r="E4">
            <v>2520</v>
          </cell>
          <cell r="F4">
            <v>1000</v>
          </cell>
          <cell r="G4">
            <v>0</v>
          </cell>
          <cell r="H4">
            <v>0</v>
          </cell>
          <cell r="I4">
            <v>2000</v>
          </cell>
          <cell r="J4">
            <v>1000</v>
          </cell>
          <cell r="K4">
            <v>6500</v>
          </cell>
          <cell r="L4">
            <v>0</v>
          </cell>
          <cell r="M4">
            <v>0</v>
          </cell>
          <cell r="N4">
            <v>11000</v>
          </cell>
          <cell r="O4">
            <v>16000</v>
          </cell>
          <cell r="P4">
            <v>0</v>
          </cell>
          <cell r="Q4">
            <v>5000</v>
          </cell>
          <cell r="R4">
            <v>8000</v>
          </cell>
          <cell r="S4">
            <v>6000</v>
          </cell>
          <cell r="T4">
            <v>6000</v>
          </cell>
          <cell r="U4">
            <v>12000</v>
          </cell>
          <cell r="V4">
            <v>8000</v>
          </cell>
          <cell r="W4">
            <v>1350</v>
          </cell>
          <cell r="X4">
            <v>14000</v>
          </cell>
          <cell r="Y4">
            <v>0</v>
          </cell>
          <cell r="Z4">
            <v>4500</v>
          </cell>
          <cell r="AA4">
            <v>19000</v>
          </cell>
          <cell r="AB4">
            <v>11500</v>
          </cell>
          <cell r="AC4">
            <v>10500</v>
          </cell>
          <cell r="AD4">
            <v>6000</v>
          </cell>
          <cell r="AE4">
            <v>16500</v>
          </cell>
          <cell r="AF4">
            <v>0</v>
          </cell>
          <cell r="AG4">
            <v>0</v>
          </cell>
          <cell r="AH4">
            <v>17800</v>
          </cell>
          <cell r="AI4">
            <v>25000</v>
          </cell>
          <cell r="AJ4">
            <v>2000</v>
          </cell>
          <cell r="AK4">
            <v>0</v>
          </cell>
          <cell r="AL4">
            <v>5500</v>
          </cell>
          <cell r="AM4">
            <v>0</v>
          </cell>
          <cell r="AN4">
            <v>0</v>
          </cell>
        </row>
        <row r="13">
          <cell r="C13">
            <v>2022</v>
          </cell>
          <cell r="D13">
            <v>2023</v>
          </cell>
          <cell r="E13">
            <v>2024</v>
          </cell>
        </row>
        <row r="14">
          <cell r="B14" t="str">
            <v>kmutnb</v>
          </cell>
          <cell r="C14">
            <v>373360</v>
          </cell>
          <cell r="D14">
            <v>258990</v>
          </cell>
          <cell r="E14">
            <v>340470</v>
          </cell>
        </row>
        <row r="15">
          <cell r="B15" t="str">
            <v>Gov</v>
          </cell>
          <cell r="C15">
            <v>63240</v>
          </cell>
          <cell r="D15">
            <v>329890</v>
          </cell>
          <cell r="E15">
            <v>247290</v>
          </cell>
        </row>
        <row r="16">
          <cell r="B16" t="str">
            <v>Private</v>
          </cell>
          <cell r="C16">
            <v>14020</v>
          </cell>
          <cell r="D16">
            <v>87350</v>
          </cell>
          <cell r="E16">
            <v>112800</v>
          </cell>
        </row>
        <row r="17">
          <cell r="B17" t="str">
            <v>total</v>
          </cell>
          <cell r="C17">
            <v>450620</v>
          </cell>
          <cell r="D17">
            <v>676230</v>
          </cell>
          <cell r="E17">
            <v>700560</v>
          </cell>
        </row>
        <row r="29">
          <cell r="C29" t="str">
            <v>KMUTNB</v>
          </cell>
          <cell r="D29" t="str">
            <v>GOV</v>
          </cell>
          <cell r="E29" t="str">
            <v>Private</v>
          </cell>
          <cell r="F29" t="str">
            <v>total</v>
          </cell>
        </row>
        <row r="30">
          <cell r="B30">
            <v>2022</v>
          </cell>
          <cell r="C30">
            <v>373360</v>
          </cell>
          <cell r="D30">
            <v>63240</v>
          </cell>
          <cell r="E30">
            <v>14020</v>
          </cell>
          <cell r="F30">
            <v>450620</v>
          </cell>
        </row>
        <row r="31">
          <cell r="B31">
            <v>2023</v>
          </cell>
          <cell r="C31">
            <v>258990</v>
          </cell>
          <cell r="D31">
            <v>329890</v>
          </cell>
          <cell r="E31">
            <v>87350</v>
          </cell>
          <cell r="F31">
            <v>676230</v>
          </cell>
        </row>
        <row r="32">
          <cell r="B32">
            <v>2024</v>
          </cell>
          <cell r="C32">
            <v>340470</v>
          </cell>
          <cell r="D32">
            <v>247290</v>
          </cell>
          <cell r="E32">
            <v>112800</v>
          </cell>
          <cell r="F32">
            <v>700560</v>
          </cell>
        </row>
        <row r="34">
          <cell r="C34" t="str">
            <v>total</v>
          </cell>
        </row>
        <row r="35">
          <cell r="B35">
            <v>2022</v>
          </cell>
          <cell r="C35">
            <v>450620</v>
          </cell>
        </row>
        <row r="36">
          <cell r="B36">
            <v>2023</v>
          </cell>
          <cell r="C36">
            <v>676230</v>
          </cell>
        </row>
        <row r="37">
          <cell r="B37">
            <v>2024</v>
          </cell>
          <cell r="C37">
            <v>700560</v>
          </cell>
        </row>
        <row r="47">
          <cell r="B47">
            <v>44470</v>
          </cell>
          <cell r="C47">
            <v>44501</v>
          </cell>
          <cell r="D47">
            <v>44531</v>
          </cell>
          <cell r="E47">
            <v>44562</v>
          </cell>
          <cell r="F47">
            <v>44593</v>
          </cell>
          <cell r="G47">
            <v>44621</v>
          </cell>
          <cell r="H47">
            <v>44652</v>
          </cell>
          <cell r="I47">
            <v>44682</v>
          </cell>
          <cell r="J47">
            <v>44713</v>
          </cell>
          <cell r="K47">
            <v>44743</v>
          </cell>
          <cell r="L47">
            <v>44774</v>
          </cell>
          <cell r="M47">
            <v>44805</v>
          </cell>
          <cell r="N47">
            <v>44835</v>
          </cell>
          <cell r="O47">
            <v>44866</v>
          </cell>
          <cell r="P47">
            <v>44896</v>
          </cell>
          <cell r="Q47">
            <v>44927</v>
          </cell>
          <cell r="R47">
            <v>44958</v>
          </cell>
          <cell r="S47">
            <v>44986</v>
          </cell>
          <cell r="T47">
            <v>45017</v>
          </cell>
          <cell r="U47">
            <v>45047</v>
          </cell>
          <cell r="V47">
            <v>45078</v>
          </cell>
          <cell r="W47">
            <v>45108</v>
          </cell>
          <cell r="X47">
            <v>45139</v>
          </cell>
          <cell r="Y47">
            <v>45170</v>
          </cell>
          <cell r="Z47">
            <v>45200</v>
          </cell>
          <cell r="AA47">
            <v>45231</v>
          </cell>
          <cell r="AB47">
            <v>45261</v>
          </cell>
          <cell r="AC47">
            <v>45292</v>
          </cell>
          <cell r="AD47">
            <v>45323</v>
          </cell>
          <cell r="AE47">
            <v>45352</v>
          </cell>
          <cell r="AF47">
            <v>45383</v>
          </cell>
          <cell r="AG47">
            <v>45413</v>
          </cell>
          <cell r="AH47">
            <v>45444</v>
          </cell>
          <cell r="AI47">
            <v>45474</v>
          </cell>
          <cell r="AJ47">
            <v>45505</v>
          </cell>
          <cell r="AK47">
            <v>45536</v>
          </cell>
          <cell r="AL47">
            <v>45566</v>
          </cell>
          <cell r="AM47">
            <v>45597</v>
          </cell>
          <cell r="AN47">
            <v>45627</v>
          </cell>
        </row>
        <row r="48">
          <cell r="A48" t="str">
            <v>total per month</v>
          </cell>
          <cell r="B48">
            <v>0</v>
          </cell>
          <cell r="C48">
            <v>10800</v>
          </cell>
          <cell r="D48">
            <v>0</v>
          </cell>
          <cell r="E48">
            <v>2520</v>
          </cell>
          <cell r="F48">
            <v>135490</v>
          </cell>
          <cell r="G48">
            <v>9120</v>
          </cell>
          <cell r="H48">
            <v>47980</v>
          </cell>
          <cell r="I48">
            <v>135360</v>
          </cell>
          <cell r="J48">
            <v>70790</v>
          </cell>
          <cell r="K48">
            <v>24170</v>
          </cell>
          <cell r="L48">
            <v>14390</v>
          </cell>
          <cell r="M48">
            <v>0</v>
          </cell>
          <cell r="N48">
            <v>38750</v>
          </cell>
          <cell r="O48">
            <v>52220</v>
          </cell>
          <cell r="P48">
            <v>5700</v>
          </cell>
          <cell r="Q48">
            <v>56030</v>
          </cell>
          <cell r="R48">
            <v>82040</v>
          </cell>
          <cell r="S48">
            <v>57000</v>
          </cell>
          <cell r="T48">
            <v>56610</v>
          </cell>
          <cell r="U48">
            <v>192910</v>
          </cell>
          <cell r="V48">
            <v>60640</v>
          </cell>
          <cell r="W48">
            <v>37540</v>
          </cell>
          <cell r="X48">
            <v>36790</v>
          </cell>
          <cell r="Y48">
            <v>0</v>
          </cell>
          <cell r="Z48">
            <v>52520</v>
          </cell>
          <cell r="AA48">
            <v>47330</v>
          </cell>
          <cell r="AB48">
            <v>28730</v>
          </cell>
          <cell r="AC48">
            <v>35130</v>
          </cell>
          <cell r="AD48">
            <v>20800</v>
          </cell>
          <cell r="AE48">
            <v>49970</v>
          </cell>
          <cell r="AF48">
            <v>41450</v>
          </cell>
          <cell r="AG48">
            <v>98440</v>
          </cell>
          <cell r="AH48">
            <v>84540</v>
          </cell>
          <cell r="AI48">
            <v>209300</v>
          </cell>
          <cell r="AJ48">
            <v>32350</v>
          </cell>
          <cell r="AK48">
            <v>0</v>
          </cell>
          <cell r="AL48">
            <v>34650</v>
          </cell>
          <cell r="AM48">
            <v>17650</v>
          </cell>
          <cell r="AN48">
            <v>24100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3AB5-E805-4A63-9CF0-119CDB833B86}">
  <dimension ref="A1:H13"/>
  <sheetViews>
    <sheetView zoomScale="85" zoomScaleNormal="85" workbookViewId="0"/>
  </sheetViews>
  <sheetFormatPr defaultRowHeight="48.75" customHeight="1"/>
  <cols>
    <col min="1" max="1" width="47.5" style="21" customWidth="1"/>
    <col min="2" max="2" width="32.625" style="28" customWidth="1"/>
    <col min="3" max="3" width="26.25" style="28" customWidth="1"/>
    <col min="4" max="4" width="33.25" style="28" customWidth="1"/>
    <col min="5" max="5" width="23" style="28" customWidth="1"/>
    <col min="6" max="6" width="17" style="28" customWidth="1"/>
    <col min="7" max="7" width="14.25" style="28" customWidth="1"/>
    <col min="8" max="8" width="25.625" style="28" customWidth="1"/>
    <col min="9" max="16384" width="9" style="21"/>
  </cols>
  <sheetData>
    <row r="1" spans="1:8" ht="26.25" customHeight="1">
      <c r="A1" s="29" t="s">
        <v>5</v>
      </c>
      <c r="B1" s="20"/>
      <c r="C1" s="20"/>
      <c r="D1" s="20"/>
      <c r="E1" s="32"/>
      <c r="F1" s="20"/>
      <c r="G1" s="20"/>
      <c r="H1" s="20"/>
    </row>
    <row r="2" spans="1:8" ht="23.25" customHeight="1">
      <c r="A2" s="30" t="s">
        <v>58</v>
      </c>
      <c r="B2" s="30" t="s">
        <v>65</v>
      </c>
      <c r="C2" s="30" t="s">
        <v>59</v>
      </c>
      <c r="D2" s="30" t="s">
        <v>60</v>
      </c>
      <c r="E2" s="31" t="s">
        <v>61</v>
      </c>
      <c r="F2" s="30" t="s">
        <v>62</v>
      </c>
      <c r="G2" s="30" t="s">
        <v>63</v>
      </c>
      <c r="H2" s="30" t="s">
        <v>64</v>
      </c>
    </row>
    <row r="3" spans="1:8" ht="48.75" customHeight="1">
      <c r="A3" s="11" t="s">
        <v>6</v>
      </c>
      <c r="B3" s="33" t="s">
        <v>7</v>
      </c>
      <c r="C3" s="33" t="s">
        <v>0</v>
      </c>
      <c r="D3" s="33" t="s">
        <v>4</v>
      </c>
      <c r="E3" s="34">
        <v>400000</v>
      </c>
      <c r="F3" s="12" t="s">
        <v>2</v>
      </c>
      <c r="G3" s="13">
        <v>2567</v>
      </c>
      <c r="H3" s="13" t="s">
        <v>9</v>
      </c>
    </row>
    <row r="4" spans="1:8" ht="81.75" customHeight="1">
      <c r="A4" s="14" t="s">
        <v>16</v>
      </c>
      <c r="B4" s="35" t="s">
        <v>17</v>
      </c>
      <c r="C4" s="35" t="s">
        <v>3</v>
      </c>
      <c r="D4" s="35" t="s">
        <v>18</v>
      </c>
      <c r="E4" s="8">
        <v>1529000</v>
      </c>
      <c r="F4" s="12" t="s">
        <v>2</v>
      </c>
      <c r="G4" s="13">
        <v>2567</v>
      </c>
      <c r="H4" s="15" t="s">
        <v>9</v>
      </c>
    </row>
    <row r="5" spans="1:8" ht="72" customHeight="1">
      <c r="A5" s="14" t="s">
        <v>19</v>
      </c>
      <c r="B5" s="35" t="s">
        <v>20</v>
      </c>
      <c r="C5" s="35" t="s">
        <v>3</v>
      </c>
      <c r="D5" s="35" t="s">
        <v>21</v>
      </c>
      <c r="E5" s="8">
        <v>200000</v>
      </c>
      <c r="F5" s="12" t="s">
        <v>2</v>
      </c>
      <c r="G5" s="13">
        <v>2567</v>
      </c>
      <c r="H5" s="15" t="s">
        <v>9</v>
      </c>
    </row>
    <row r="6" spans="1:8" ht="108" customHeight="1">
      <c r="A6" s="14" t="s">
        <v>22</v>
      </c>
      <c r="B6" s="35" t="s">
        <v>23</v>
      </c>
      <c r="C6" s="35" t="s">
        <v>3</v>
      </c>
      <c r="D6" s="35" t="s">
        <v>37</v>
      </c>
      <c r="E6" s="8">
        <v>10000000</v>
      </c>
      <c r="F6" s="12" t="s">
        <v>2</v>
      </c>
      <c r="G6" s="13">
        <v>2567</v>
      </c>
      <c r="H6" s="15" t="s">
        <v>24</v>
      </c>
    </row>
    <row r="7" spans="1:8" ht="93" customHeight="1">
      <c r="A7" s="14" t="s">
        <v>25</v>
      </c>
      <c r="B7" s="35" t="s">
        <v>26</v>
      </c>
      <c r="C7" s="35" t="s">
        <v>3</v>
      </c>
      <c r="D7" s="35" t="s">
        <v>27</v>
      </c>
      <c r="E7" s="8">
        <v>1189367</v>
      </c>
      <c r="F7" s="12" t="s">
        <v>2</v>
      </c>
      <c r="G7" s="13">
        <v>2567</v>
      </c>
      <c r="H7" s="15" t="s">
        <v>9</v>
      </c>
    </row>
    <row r="8" spans="1:8" ht="93" customHeight="1">
      <c r="A8" s="14" t="s">
        <v>28</v>
      </c>
      <c r="B8" s="35" t="s">
        <v>29</v>
      </c>
      <c r="C8" s="35" t="s">
        <v>3</v>
      </c>
      <c r="D8" s="35" t="s">
        <v>4</v>
      </c>
      <c r="E8" s="8">
        <v>600000</v>
      </c>
      <c r="F8" s="12" t="s">
        <v>2</v>
      </c>
      <c r="G8" s="13">
        <v>2567</v>
      </c>
      <c r="H8" s="15" t="s">
        <v>9</v>
      </c>
    </row>
    <row r="9" spans="1:8" ht="93" customHeight="1">
      <c r="A9" s="14" t="s">
        <v>30</v>
      </c>
      <c r="B9" s="35" t="s">
        <v>23</v>
      </c>
      <c r="C9" s="35" t="s">
        <v>3</v>
      </c>
      <c r="D9" s="35" t="s">
        <v>31</v>
      </c>
      <c r="E9" s="8">
        <v>600000</v>
      </c>
      <c r="F9" s="12" t="s">
        <v>2</v>
      </c>
      <c r="G9" s="13">
        <v>2567</v>
      </c>
      <c r="H9" s="15" t="s">
        <v>24</v>
      </c>
    </row>
    <row r="10" spans="1:8" ht="93" customHeight="1">
      <c r="A10" s="14" t="s">
        <v>35</v>
      </c>
      <c r="B10" s="35" t="s">
        <v>36</v>
      </c>
      <c r="C10" s="35" t="s">
        <v>3</v>
      </c>
      <c r="D10" s="35" t="s">
        <v>32</v>
      </c>
      <c r="E10" s="8">
        <v>1900000</v>
      </c>
      <c r="F10" s="12" t="s">
        <v>2</v>
      </c>
      <c r="G10" s="13">
        <v>2567</v>
      </c>
      <c r="H10" s="15" t="s">
        <v>24</v>
      </c>
    </row>
    <row r="11" spans="1:8" ht="133.5" customHeight="1">
      <c r="A11" s="14" t="s">
        <v>33</v>
      </c>
      <c r="B11" s="35" t="s">
        <v>34</v>
      </c>
      <c r="C11" s="35" t="s">
        <v>3</v>
      </c>
      <c r="D11" s="35" t="s">
        <v>38</v>
      </c>
      <c r="E11" s="8">
        <v>7250000</v>
      </c>
      <c r="F11" s="16" t="s">
        <v>2</v>
      </c>
      <c r="G11" s="13">
        <v>2567</v>
      </c>
      <c r="H11" s="22" t="s">
        <v>39</v>
      </c>
    </row>
    <row r="12" spans="1:8" ht="48.75" customHeight="1" thickBot="1">
      <c r="A12" s="17" t="s">
        <v>40</v>
      </c>
      <c r="B12" s="36" t="s">
        <v>41</v>
      </c>
      <c r="C12" s="35" t="s">
        <v>3</v>
      </c>
      <c r="D12" s="36" t="s">
        <v>47</v>
      </c>
      <c r="E12" s="9">
        <v>0</v>
      </c>
      <c r="F12" s="18"/>
      <c r="G12" s="19">
        <v>2567</v>
      </c>
      <c r="H12" s="23" t="s">
        <v>47</v>
      </c>
    </row>
    <row r="13" spans="1:8" ht="48.75" customHeight="1" thickBot="1">
      <c r="A13" s="24"/>
      <c r="B13" s="26"/>
      <c r="C13" s="26"/>
      <c r="D13" s="26"/>
      <c r="E13" s="44">
        <f>SUM(E3:E12)</f>
        <v>23668367</v>
      </c>
      <c r="F13" s="26"/>
      <c r="G13" s="26"/>
      <c r="H13" s="3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ABDC-FBD9-417A-876C-C711C680CBBC}">
  <dimension ref="A1:H5"/>
  <sheetViews>
    <sheetView workbookViewId="0">
      <selection sqref="A1:XFD2"/>
    </sheetView>
  </sheetViews>
  <sheetFormatPr defaultRowHeight="24"/>
  <cols>
    <col min="1" max="1" width="40.125" style="21" customWidth="1"/>
    <col min="2" max="2" width="25.125" style="28" customWidth="1"/>
    <col min="3" max="3" width="23.25" style="28" customWidth="1"/>
    <col min="4" max="4" width="40.375" style="28" customWidth="1"/>
    <col min="5" max="5" width="28" style="28" customWidth="1"/>
    <col min="6" max="7" width="9" style="28"/>
    <col min="8" max="8" width="22.5" style="28" customWidth="1"/>
    <col min="9" max="16384" width="9" style="21"/>
  </cols>
  <sheetData>
    <row r="1" spans="1:8" ht="22.5" customHeight="1">
      <c r="A1" s="29" t="s">
        <v>8</v>
      </c>
      <c r="B1" s="20"/>
      <c r="C1" s="20"/>
      <c r="D1" s="20"/>
      <c r="E1" s="32"/>
      <c r="F1" s="20"/>
      <c r="G1" s="20"/>
      <c r="H1" s="20"/>
    </row>
    <row r="2" spans="1:8" ht="23.25" customHeight="1">
      <c r="A2" s="30" t="s">
        <v>58</v>
      </c>
      <c r="B2" s="30" t="s">
        <v>65</v>
      </c>
      <c r="C2" s="30" t="s">
        <v>59</v>
      </c>
      <c r="D2" s="30" t="s">
        <v>60</v>
      </c>
      <c r="E2" s="31" t="s">
        <v>61</v>
      </c>
      <c r="F2" s="30" t="s">
        <v>62</v>
      </c>
      <c r="G2" s="30" t="s">
        <v>63</v>
      </c>
      <c r="H2" s="30" t="s">
        <v>64</v>
      </c>
    </row>
    <row r="3" spans="1:8" ht="96">
      <c r="A3" s="38" t="s">
        <v>10</v>
      </c>
      <c r="B3" s="10" t="s">
        <v>11</v>
      </c>
      <c r="C3" s="10" t="s">
        <v>3</v>
      </c>
      <c r="D3" s="10" t="s">
        <v>12</v>
      </c>
      <c r="E3" s="42">
        <v>150000</v>
      </c>
      <c r="F3" s="12" t="s">
        <v>2</v>
      </c>
      <c r="G3" s="10">
        <v>2568</v>
      </c>
      <c r="H3" s="10" t="s">
        <v>9</v>
      </c>
    </row>
    <row r="4" spans="1:8" ht="72.75" thickBot="1">
      <c r="A4" s="39" t="s">
        <v>13</v>
      </c>
      <c r="B4" s="41" t="s">
        <v>15</v>
      </c>
      <c r="C4" s="41" t="s">
        <v>3</v>
      </c>
      <c r="D4" s="41" t="s">
        <v>14</v>
      </c>
      <c r="E4" s="43">
        <v>1599000</v>
      </c>
      <c r="F4" s="40" t="s">
        <v>2</v>
      </c>
      <c r="G4" s="41">
        <v>2568</v>
      </c>
      <c r="H4" s="10" t="s">
        <v>9</v>
      </c>
    </row>
    <row r="5" spans="1:8" ht="40.5" customHeight="1" thickBot="1">
      <c r="A5" s="24"/>
      <c r="B5" s="26"/>
      <c r="C5" s="26"/>
      <c r="D5" s="26"/>
      <c r="E5" s="44">
        <f>SUM(E3:E4)</f>
        <v>1749000</v>
      </c>
      <c r="F5" s="26"/>
      <c r="G5" s="26"/>
      <c r="H5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4B0F-D50F-45BE-9361-89731442117F}">
  <dimension ref="A1:H4"/>
  <sheetViews>
    <sheetView workbookViewId="0">
      <selection activeCell="D13" sqref="D13"/>
    </sheetView>
  </sheetViews>
  <sheetFormatPr defaultRowHeight="24"/>
  <cols>
    <col min="1" max="1" width="40.125" style="21" customWidth="1"/>
    <col min="2" max="2" width="25.125" style="21" customWidth="1"/>
    <col min="3" max="3" width="23.25" style="21" customWidth="1"/>
    <col min="4" max="4" width="40.375" style="21" customWidth="1"/>
    <col min="5" max="5" width="28" style="21" customWidth="1"/>
    <col min="6" max="6" width="9" style="21"/>
    <col min="7" max="7" width="15.5" style="21" customWidth="1"/>
    <col min="8" max="8" width="25.625" style="21" customWidth="1"/>
    <col min="9" max="16384" width="9" style="21"/>
  </cols>
  <sheetData>
    <row r="1" spans="1:8" ht="22.5" customHeight="1">
      <c r="A1" s="29" t="s">
        <v>57</v>
      </c>
      <c r="B1" s="20"/>
      <c r="C1" s="20"/>
      <c r="D1" s="20"/>
      <c r="E1" s="32"/>
      <c r="F1" s="20"/>
      <c r="G1" s="20"/>
      <c r="H1" s="20"/>
    </row>
    <row r="2" spans="1:8" ht="23.25" customHeight="1">
      <c r="A2" s="30" t="s">
        <v>58</v>
      </c>
      <c r="B2" s="30" t="s">
        <v>65</v>
      </c>
      <c r="C2" s="30" t="s">
        <v>59</v>
      </c>
      <c r="D2" s="30" t="s">
        <v>60</v>
      </c>
      <c r="E2" s="31" t="s">
        <v>61</v>
      </c>
      <c r="F2" s="30" t="s">
        <v>62</v>
      </c>
      <c r="G2" s="30" t="s">
        <v>63</v>
      </c>
      <c r="H2" s="30" t="s">
        <v>64</v>
      </c>
    </row>
    <row r="3" spans="1:8" ht="72.75" thickBot="1">
      <c r="A3" s="45" t="s">
        <v>54</v>
      </c>
      <c r="B3" s="45" t="s">
        <v>55</v>
      </c>
      <c r="C3" s="46" t="s">
        <v>3</v>
      </c>
      <c r="D3" s="45" t="s">
        <v>56</v>
      </c>
      <c r="E3" s="47">
        <v>250000</v>
      </c>
      <c r="F3" s="48" t="s">
        <v>1</v>
      </c>
      <c r="G3" s="46">
        <v>2569</v>
      </c>
      <c r="H3" s="49" t="s">
        <v>47</v>
      </c>
    </row>
    <row r="4" spans="1:8" ht="40.5" customHeight="1" thickBot="1">
      <c r="A4" s="24"/>
      <c r="B4" s="25"/>
      <c r="C4" s="25"/>
      <c r="D4" s="25"/>
      <c r="E4" s="50">
        <f>SUM(E3:E3)</f>
        <v>250000</v>
      </c>
      <c r="F4" s="25"/>
      <c r="G4" s="25"/>
      <c r="H4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873B-E6B6-4B84-8982-04A146AA93E5}">
  <dimension ref="A1:AN49"/>
  <sheetViews>
    <sheetView tabSelected="1" workbookViewId="0">
      <selection activeCell="F9" sqref="F9"/>
    </sheetView>
  </sheetViews>
  <sheetFormatPr defaultRowHeight="14.25"/>
  <cols>
    <col min="1" max="1" width="19.75" customWidth="1"/>
    <col min="2" max="2" width="9.375" bestFit="1" customWidth="1"/>
    <col min="3" max="5" width="11.875" bestFit="1" customWidth="1"/>
    <col min="6" max="6" width="12.625" bestFit="1" customWidth="1"/>
    <col min="7" max="7" width="10.625" bestFit="1" customWidth="1"/>
    <col min="8" max="8" width="11.625" bestFit="1" customWidth="1"/>
    <col min="9" max="9" width="12.625" bestFit="1" customWidth="1"/>
    <col min="10" max="10" width="11.625" bestFit="1" customWidth="1"/>
    <col min="11" max="11" width="10.625" bestFit="1" customWidth="1"/>
    <col min="12" max="12" width="11.625" bestFit="1" customWidth="1"/>
    <col min="13" max="13" width="11.875" bestFit="1" customWidth="1"/>
    <col min="14" max="15" width="11.625" bestFit="1" customWidth="1"/>
    <col min="16" max="16" width="10.625" bestFit="1" customWidth="1"/>
    <col min="17" max="20" width="11.625" bestFit="1" customWidth="1"/>
    <col min="21" max="21" width="12.625" bestFit="1" customWidth="1"/>
    <col min="22" max="24" width="11.625" bestFit="1" customWidth="1"/>
    <col min="25" max="25" width="14.125" customWidth="1"/>
    <col min="26" max="34" width="11.625" bestFit="1" customWidth="1"/>
    <col min="35" max="35" width="12.625" bestFit="1" customWidth="1"/>
    <col min="36" max="36" width="11.625" bestFit="1" customWidth="1"/>
    <col min="37" max="37" width="15.25" customWidth="1"/>
    <col min="38" max="38" width="11.625" bestFit="1" customWidth="1"/>
  </cols>
  <sheetData>
    <row r="1" spans="1:40" ht="25.5">
      <c r="A1" s="7" t="s">
        <v>53</v>
      </c>
    </row>
    <row r="2" spans="1:40">
      <c r="B2" s="3">
        <v>44470</v>
      </c>
      <c r="C2" s="3">
        <v>44501</v>
      </c>
      <c r="D2" s="3">
        <v>44531</v>
      </c>
      <c r="E2" s="3">
        <v>44562</v>
      </c>
      <c r="F2" s="3">
        <v>44593</v>
      </c>
      <c r="G2" s="3">
        <v>44621</v>
      </c>
      <c r="H2" s="3">
        <v>44652</v>
      </c>
      <c r="I2" s="3">
        <v>44682</v>
      </c>
      <c r="J2" s="3">
        <v>44713</v>
      </c>
      <c r="K2" s="3">
        <v>44743</v>
      </c>
      <c r="L2" s="3">
        <v>44774</v>
      </c>
      <c r="M2" s="3">
        <v>44805</v>
      </c>
      <c r="N2" s="3">
        <v>44835</v>
      </c>
      <c r="O2" s="3">
        <v>44866</v>
      </c>
      <c r="P2" s="3">
        <v>44896</v>
      </c>
      <c r="Q2" s="3">
        <v>44927</v>
      </c>
      <c r="R2" s="3">
        <v>44958</v>
      </c>
      <c r="S2" s="3">
        <v>44986</v>
      </c>
      <c r="T2" s="3">
        <v>45017</v>
      </c>
      <c r="U2" s="3">
        <v>45047</v>
      </c>
      <c r="V2" s="3">
        <v>45078</v>
      </c>
      <c r="W2" s="3">
        <v>45108</v>
      </c>
      <c r="X2" s="3">
        <v>45139</v>
      </c>
      <c r="Y2" s="3">
        <v>45170</v>
      </c>
      <c r="Z2" s="3">
        <v>45200</v>
      </c>
      <c r="AA2" s="3">
        <v>45231</v>
      </c>
      <c r="AB2" s="3">
        <v>45261</v>
      </c>
      <c r="AC2" s="3">
        <v>45292</v>
      </c>
      <c r="AD2" s="3">
        <v>45323</v>
      </c>
      <c r="AE2" s="3">
        <v>45352</v>
      </c>
      <c r="AF2" s="3">
        <v>45383</v>
      </c>
      <c r="AG2" s="3">
        <v>45413</v>
      </c>
      <c r="AH2" s="3">
        <v>45444</v>
      </c>
      <c r="AI2" s="3">
        <v>45474</v>
      </c>
      <c r="AJ2" s="3">
        <v>45505</v>
      </c>
      <c r="AK2" s="3">
        <v>45536</v>
      </c>
      <c r="AL2" s="3">
        <v>45566</v>
      </c>
      <c r="AM2" s="3">
        <v>45597</v>
      </c>
      <c r="AN2" s="3">
        <v>45627</v>
      </c>
    </row>
    <row r="3" spans="1:40">
      <c r="A3" t="s">
        <v>46</v>
      </c>
      <c r="B3" s="4" t="s">
        <v>47</v>
      </c>
      <c r="C3" s="4">
        <v>7400</v>
      </c>
      <c r="D3" s="4">
        <v>0</v>
      </c>
      <c r="E3" s="4">
        <v>0</v>
      </c>
      <c r="F3" s="4">
        <v>134490</v>
      </c>
      <c r="G3" s="4">
        <v>6420</v>
      </c>
      <c r="H3" s="4">
        <v>27980</v>
      </c>
      <c r="I3" s="4">
        <v>129560</v>
      </c>
      <c r="J3" s="4">
        <v>44350</v>
      </c>
      <c r="K3" s="4">
        <v>8770</v>
      </c>
      <c r="L3" s="4">
        <v>14390</v>
      </c>
      <c r="M3" s="4">
        <v>0</v>
      </c>
      <c r="N3" s="4">
        <v>25050</v>
      </c>
      <c r="O3" s="4">
        <v>23020</v>
      </c>
      <c r="P3" s="4">
        <v>300</v>
      </c>
      <c r="Q3" s="4">
        <v>34230</v>
      </c>
      <c r="R3" s="4">
        <v>55440</v>
      </c>
      <c r="S3" s="4">
        <v>43320</v>
      </c>
      <c r="T3" s="4">
        <v>16340</v>
      </c>
      <c r="U3" s="4">
        <v>9000</v>
      </c>
      <c r="V3" s="4">
        <v>27600</v>
      </c>
      <c r="W3" s="4">
        <v>9750</v>
      </c>
      <c r="X3" s="4">
        <v>14940</v>
      </c>
      <c r="Y3" s="4">
        <v>0</v>
      </c>
      <c r="Z3" s="4">
        <v>24750</v>
      </c>
      <c r="AA3" s="4">
        <v>14650</v>
      </c>
      <c r="AB3" s="4">
        <v>12630</v>
      </c>
      <c r="AC3" s="4">
        <v>9450</v>
      </c>
      <c r="AD3" s="4">
        <v>14800</v>
      </c>
      <c r="AE3" s="4">
        <v>32870</v>
      </c>
      <c r="AF3" s="4">
        <v>38150</v>
      </c>
      <c r="AG3" s="4">
        <v>53080</v>
      </c>
      <c r="AH3" s="4">
        <v>57740</v>
      </c>
      <c r="AI3" s="4">
        <v>56700</v>
      </c>
      <c r="AJ3" s="4">
        <v>25650</v>
      </c>
      <c r="AK3" s="4">
        <v>0</v>
      </c>
      <c r="AL3" s="4">
        <v>22400</v>
      </c>
      <c r="AM3" s="4">
        <v>17650</v>
      </c>
      <c r="AN3" s="4">
        <v>13250</v>
      </c>
    </row>
    <row r="4" spans="1:40">
      <c r="A4" t="s">
        <v>48</v>
      </c>
      <c r="B4" s="4">
        <v>0</v>
      </c>
      <c r="C4" s="4">
        <v>2400</v>
      </c>
      <c r="D4" s="4">
        <v>0</v>
      </c>
      <c r="E4" s="4">
        <v>0</v>
      </c>
      <c r="F4" s="4">
        <v>0</v>
      </c>
      <c r="G4" s="4">
        <v>2700</v>
      </c>
      <c r="H4" s="4">
        <v>20000</v>
      </c>
      <c r="I4" s="4">
        <v>3800</v>
      </c>
      <c r="J4" s="4">
        <v>25440</v>
      </c>
      <c r="K4" s="4">
        <v>8900</v>
      </c>
      <c r="L4" s="4">
        <v>0</v>
      </c>
      <c r="M4" s="4">
        <v>0</v>
      </c>
      <c r="N4" s="4">
        <v>2700</v>
      </c>
      <c r="O4" s="4">
        <v>13200</v>
      </c>
      <c r="P4" s="4">
        <v>5400</v>
      </c>
      <c r="Q4" s="4">
        <v>16800</v>
      </c>
      <c r="R4" s="4">
        <v>18600</v>
      </c>
      <c r="S4" s="4">
        <v>7680</v>
      </c>
      <c r="T4" s="4">
        <v>34270</v>
      </c>
      <c r="U4" s="4">
        <v>171910</v>
      </c>
      <c r="V4" s="4">
        <v>25040</v>
      </c>
      <c r="W4" s="4">
        <v>26440</v>
      </c>
      <c r="X4" s="4">
        <v>7850</v>
      </c>
      <c r="Y4" s="4">
        <v>0</v>
      </c>
      <c r="Z4" s="4">
        <v>23270</v>
      </c>
      <c r="AA4" s="4">
        <v>13680</v>
      </c>
      <c r="AB4" s="4">
        <v>4600</v>
      </c>
      <c r="AC4" s="4">
        <v>15180</v>
      </c>
      <c r="AD4" s="4">
        <v>0</v>
      </c>
      <c r="AE4" s="4">
        <v>600</v>
      </c>
      <c r="AF4" s="4">
        <v>3300</v>
      </c>
      <c r="AG4" s="4">
        <v>45360</v>
      </c>
      <c r="AH4" s="4">
        <v>9000</v>
      </c>
      <c r="AI4" s="4">
        <v>127600</v>
      </c>
      <c r="AJ4" s="4">
        <v>4700</v>
      </c>
      <c r="AK4" s="4">
        <v>0</v>
      </c>
      <c r="AL4" s="4">
        <v>6750</v>
      </c>
      <c r="AM4" s="4">
        <v>0</v>
      </c>
      <c r="AN4" s="4">
        <v>10850</v>
      </c>
    </row>
    <row r="5" spans="1:40">
      <c r="A5" t="s">
        <v>49</v>
      </c>
      <c r="B5" s="4">
        <v>0</v>
      </c>
      <c r="C5" s="4">
        <v>1000</v>
      </c>
      <c r="D5" s="4">
        <v>0</v>
      </c>
      <c r="E5" s="4">
        <v>2520</v>
      </c>
      <c r="F5" s="4">
        <v>1000</v>
      </c>
      <c r="G5" s="4">
        <v>0</v>
      </c>
      <c r="H5" s="4">
        <v>0</v>
      </c>
      <c r="I5" s="4">
        <v>2000</v>
      </c>
      <c r="J5" s="4">
        <v>1000</v>
      </c>
      <c r="K5" s="4">
        <v>6500</v>
      </c>
      <c r="L5" s="4">
        <v>0</v>
      </c>
      <c r="M5" s="4">
        <v>0</v>
      </c>
      <c r="N5" s="4">
        <v>11000</v>
      </c>
      <c r="O5" s="4">
        <v>16000</v>
      </c>
      <c r="P5" s="4">
        <v>0</v>
      </c>
      <c r="Q5" s="4">
        <v>5000</v>
      </c>
      <c r="R5" s="4">
        <v>8000</v>
      </c>
      <c r="S5" s="4">
        <v>6000</v>
      </c>
      <c r="T5" s="4">
        <v>6000</v>
      </c>
      <c r="U5" s="4">
        <v>12000</v>
      </c>
      <c r="V5" s="4">
        <v>8000</v>
      </c>
      <c r="W5" s="4">
        <v>1350</v>
      </c>
      <c r="X5" s="4">
        <v>14000</v>
      </c>
      <c r="Y5" s="4">
        <v>0</v>
      </c>
      <c r="Z5" s="4">
        <v>4500</v>
      </c>
      <c r="AA5" s="4">
        <v>19000</v>
      </c>
      <c r="AB5" s="4">
        <v>11500</v>
      </c>
      <c r="AC5" s="4">
        <v>10500</v>
      </c>
      <c r="AD5" s="4">
        <v>6000</v>
      </c>
      <c r="AE5" s="4">
        <v>16500</v>
      </c>
      <c r="AF5" s="4">
        <v>0</v>
      </c>
      <c r="AG5" s="4">
        <v>0</v>
      </c>
      <c r="AH5" s="4">
        <v>17800</v>
      </c>
      <c r="AI5" s="4">
        <v>25000</v>
      </c>
      <c r="AJ5" s="4">
        <v>2000</v>
      </c>
      <c r="AK5" s="4">
        <v>0</v>
      </c>
      <c r="AL5" s="4">
        <v>5500</v>
      </c>
      <c r="AM5" s="4">
        <v>0</v>
      </c>
      <c r="AN5" s="4">
        <v>0</v>
      </c>
    </row>
    <row r="6" spans="1:40">
      <c r="A6" t="s">
        <v>50</v>
      </c>
      <c r="B6" s="4">
        <f>SUM(B3:B5)</f>
        <v>0</v>
      </c>
      <c r="C6" s="4">
        <f t="shared" ref="C6:AN6" si="0">SUM(C3:C5)</f>
        <v>10800</v>
      </c>
      <c r="D6" s="4">
        <f t="shared" si="0"/>
        <v>0</v>
      </c>
      <c r="E6" s="4">
        <f t="shared" si="0"/>
        <v>2520</v>
      </c>
      <c r="F6" s="4">
        <f t="shared" si="0"/>
        <v>135490</v>
      </c>
      <c r="G6" s="4">
        <f t="shared" si="0"/>
        <v>9120</v>
      </c>
      <c r="H6" s="4">
        <f t="shared" si="0"/>
        <v>47980</v>
      </c>
      <c r="I6" s="4">
        <f t="shared" si="0"/>
        <v>135360</v>
      </c>
      <c r="J6" s="4">
        <f t="shared" si="0"/>
        <v>70790</v>
      </c>
      <c r="K6" s="4">
        <f t="shared" si="0"/>
        <v>24170</v>
      </c>
      <c r="L6" s="4">
        <f t="shared" si="0"/>
        <v>14390</v>
      </c>
      <c r="M6" s="4">
        <f t="shared" si="0"/>
        <v>0</v>
      </c>
      <c r="N6" s="4">
        <f t="shared" si="0"/>
        <v>38750</v>
      </c>
      <c r="O6" s="4">
        <f t="shared" si="0"/>
        <v>52220</v>
      </c>
      <c r="P6" s="4">
        <f t="shared" si="0"/>
        <v>5700</v>
      </c>
      <c r="Q6" s="4">
        <f t="shared" si="0"/>
        <v>56030</v>
      </c>
      <c r="R6" s="4">
        <f t="shared" si="0"/>
        <v>82040</v>
      </c>
      <c r="S6" s="4">
        <f t="shared" si="0"/>
        <v>57000</v>
      </c>
      <c r="T6" s="4">
        <f t="shared" si="0"/>
        <v>56610</v>
      </c>
      <c r="U6" s="4">
        <f t="shared" si="0"/>
        <v>192910</v>
      </c>
      <c r="V6" s="4">
        <f t="shared" si="0"/>
        <v>60640</v>
      </c>
      <c r="W6" s="4">
        <f t="shared" si="0"/>
        <v>37540</v>
      </c>
      <c r="X6" s="4">
        <f t="shared" si="0"/>
        <v>36790</v>
      </c>
      <c r="Y6" s="4">
        <f t="shared" si="0"/>
        <v>0</v>
      </c>
      <c r="Z6" s="4">
        <f t="shared" si="0"/>
        <v>52520</v>
      </c>
      <c r="AA6" s="4">
        <f t="shared" si="0"/>
        <v>47330</v>
      </c>
      <c r="AB6" s="4">
        <f t="shared" si="0"/>
        <v>28730</v>
      </c>
      <c r="AC6" s="4">
        <f t="shared" si="0"/>
        <v>35130</v>
      </c>
      <c r="AD6" s="4">
        <f t="shared" si="0"/>
        <v>20800</v>
      </c>
      <c r="AE6" s="4">
        <f t="shared" si="0"/>
        <v>49970</v>
      </c>
      <c r="AF6" s="4">
        <f t="shared" si="0"/>
        <v>41450</v>
      </c>
      <c r="AG6" s="4">
        <f t="shared" si="0"/>
        <v>98440</v>
      </c>
      <c r="AH6" s="4">
        <f t="shared" si="0"/>
        <v>84540</v>
      </c>
      <c r="AI6" s="4">
        <f t="shared" si="0"/>
        <v>209300</v>
      </c>
      <c r="AJ6" s="4">
        <f t="shared" si="0"/>
        <v>32350</v>
      </c>
      <c r="AK6" s="4">
        <f t="shared" si="0"/>
        <v>0</v>
      </c>
      <c r="AL6" s="4">
        <f t="shared" si="0"/>
        <v>34650</v>
      </c>
      <c r="AM6" s="4">
        <f t="shared" si="0"/>
        <v>17650</v>
      </c>
      <c r="AN6" s="4">
        <f t="shared" si="0"/>
        <v>24100</v>
      </c>
    </row>
    <row r="7" spans="1:40">
      <c r="M7" s="2">
        <f>SUM(B3:L3)</f>
        <v>373360</v>
      </c>
      <c r="Y7" s="2">
        <f>SUM(N3:X3)</f>
        <v>258990</v>
      </c>
      <c r="AK7" s="2">
        <f>SUM(Z3:AJ3)</f>
        <v>340470</v>
      </c>
    </row>
    <row r="8" spans="1:40">
      <c r="M8" s="2">
        <f>SUM(B4:L4)</f>
        <v>63240</v>
      </c>
      <c r="Y8" s="2">
        <f>SUM(N4:X4)</f>
        <v>329890</v>
      </c>
      <c r="AK8" s="2">
        <f>SUM(Z4:AJ4)</f>
        <v>247290</v>
      </c>
    </row>
    <row r="9" spans="1:40">
      <c r="M9" s="2">
        <f>SUM(B5:L5)</f>
        <v>14020</v>
      </c>
      <c r="Y9" s="2">
        <f>SUM(N5:X5)</f>
        <v>87350</v>
      </c>
      <c r="AK9" s="2">
        <f>SUM(Z5:AJ5)</f>
        <v>112800</v>
      </c>
    </row>
    <row r="10" spans="1:40">
      <c r="M10" s="1">
        <f>M7+M8+M9</f>
        <v>450620</v>
      </c>
      <c r="Y10" s="1">
        <f>Y7+Y8+Y9</f>
        <v>676230</v>
      </c>
      <c r="AK10" s="1">
        <f>AK7+AK8+AK9</f>
        <v>700560</v>
      </c>
    </row>
    <row r="14" spans="1:40">
      <c r="C14">
        <v>2022</v>
      </c>
      <c r="D14">
        <v>2023</v>
      </c>
      <c r="E14">
        <v>2024</v>
      </c>
    </row>
    <row r="15" spans="1:40">
      <c r="B15" t="s">
        <v>42</v>
      </c>
      <c r="C15" s="1">
        <f>M7</f>
        <v>373360</v>
      </c>
      <c r="D15" s="1">
        <f>Y7</f>
        <v>258990</v>
      </c>
      <c r="E15" s="1">
        <f>AK7</f>
        <v>340470</v>
      </c>
    </row>
    <row r="16" spans="1:40" ht="15" thickBot="1">
      <c r="B16" t="s">
        <v>43</v>
      </c>
      <c r="C16" s="1">
        <f t="shared" ref="C16:C18" si="1">M8</f>
        <v>63240</v>
      </c>
      <c r="D16" s="1">
        <f t="shared" ref="D16:D18" si="2">Y8</f>
        <v>329890</v>
      </c>
      <c r="E16" s="1">
        <f t="shared" ref="E16:E18" si="3">AK8</f>
        <v>247290</v>
      </c>
    </row>
    <row r="17" spans="2:39" ht="15" thickTop="1">
      <c r="B17" t="s">
        <v>44</v>
      </c>
      <c r="C17" s="1">
        <f t="shared" si="1"/>
        <v>14020</v>
      </c>
      <c r="D17" s="1">
        <f t="shared" si="2"/>
        <v>87350</v>
      </c>
      <c r="E17" s="1">
        <f t="shared" si="3"/>
        <v>112800</v>
      </c>
      <c r="AK17" s="5"/>
      <c r="AL17" s="5"/>
      <c r="AM17" s="5"/>
    </row>
    <row r="18" spans="2:39">
      <c r="B18" t="s">
        <v>45</v>
      </c>
      <c r="C18" s="1">
        <f t="shared" si="1"/>
        <v>450620</v>
      </c>
      <c r="D18" s="1">
        <f t="shared" si="2"/>
        <v>676230</v>
      </c>
      <c r="E18" s="1">
        <f t="shared" si="3"/>
        <v>700560</v>
      </c>
    </row>
    <row r="30" spans="2:39">
      <c r="C30" t="s">
        <v>51</v>
      </c>
      <c r="D30" t="s">
        <v>52</v>
      </c>
      <c r="E30" t="s">
        <v>44</v>
      </c>
      <c r="F30" t="s">
        <v>45</v>
      </c>
    </row>
    <row r="31" spans="2:39">
      <c r="B31">
        <v>2022</v>
      </c>
      <c r="C31" s="1">
        <f>C15</f>
        <v>373360</v>
      </c>
      <c r="D31" s="1">
        <f>C16</f>
        <v>63240</v>
      </c>
      <c r="E31" s="1">
        <f>C17</f>
        <v>14020</v>
      </c>
      <c r="F31" s="1">
        <f>C18</f>
        <v>450620</v>
      </c>
    </row>
    <row r="32" spans="2:39">
      <c r="B32">
        <v>2023</v>
      </c>
      <c r="C32" s="1">
        <f>D15</f>
        <v>258990</v>
      </c>
      <c r="D32" s="1">
        <f>D16</f>
        <v>329890</v>
      </c>
      <c r="E32" s="1">
        <f>D17</f>
        <v>87350</v>
      </c>
      <c r="F32" s="1">
        <f>D18</f>
        <v>676230</v>
      </c>
    </row>
    <row r="33" spans="2:40">
      <c r="B33">
        <v>2024</v>
      </c>
      <c r="C33" s="1">
        <f>E15</f>
        <v>340470</v>
      </c>
      <c r="D33" s="1">
        <f>E16</f>
        <v>247290</v>
      </c>
      <c r="E33" s="1">
        <f>E17</f>
        <v>112800</v>
      </c>
      <c r="F33" s="1">
        <f>E18</f>
        <v>700560</v>
      </c>
    </row>
    <row r="35" spans="2:40">
      <c r="C35" t="s">
        <v>45</v>
      </c>
    </row>
    <row r="36" spans="2:40">
      <c r="B36">
        <f>B31</f>
        <v>2022</v>
      </c>
      <c r="C36" s="1">
        <f>F31</f>
        <v>450620</v>
      </c>
    </row>
    <row r="37" spans="2:40">
      <c r="B37">
        <f t="shared" ref="B37:B38" si="4">B32</f>
        <v>2023</v>
      </c>
      <c r="C37" s="1">
        <f t="shared" ref="C37:C38" si="5">F32</f>
        <v>676230</v>
      </c>
    </row>
    <row r="38" spans="2:40">
      <c r="B38">
        <f t="shared" si="4"/>
        <v>2024</v>
      </c>
      <c r="C38" s="1">
        <f t="shared" si="5"/>
        <v>700560</v>
      </c>
    </row>
    <row r="48" spans="2:40">
      <c r="B48" s="3">
        <f>B2</f>
        <v>44470</v>
      </c>
      <c r="C48" s="3">
        <f t="shared" ref="C48:V48" si="6">C2</f>
        <v>44501</v>
      </c>
      <c r="D48" s="3">
        <f t="shared" si="6"/>
        <v>44531</v>
      </c>
      <c r="E48" s="3">
        <f t="shared" si="6"/>
        <v>44562</v>
      </c>
      <c r="F48" s="3">
        <f t="shared" si="6"/>
        <v>44593</v>
      </c>
      <c r="G48" s="3">
        <f t="shared" si="6"/>
        <v>44621</v>
      </c>
      <c r="H48" s="3">
        <f t="shared" si="6"/>
        <v>44652</v>
      </c>
      <c r="I48" s="3">
        <f t="shared" si="6"/>
        <v>44682</v>
      </c>
      <c r="J48" s="3">
        <f t="shared" si="6"/>
        <v>44713</v>
      </c>
      <c r="K48" s="3">
        <f t="shared" si="6"/>
        <v>44743</v>
      </c>
      <c r="L48" s="3">
        <f t="shared" si="6"/>
        <v>44774</v>
      </c>
      <c r="M48" s="3">
        <f t="shared" si="6"/>
        <v>44805</v>
      </c>
      <c r="N48" s="3">
        <f t="shared" si="6"/>
        <v>44835</v>
      </c>
      <c r="O48" s="3">
        <f t="shared" si="6"/>
        <v>44866</v>
      </c>
      <c r="P48" s="3">
        <f t="shared" si="6"/>
        <v>44896</v>
      </c>
      <c r="Q48" s="3">
        <f t="shared" si="6"/>
        <v>44927</v>
      </c>
      <c r="R48" s="3">
        <f t="shared" si="6"/>
        <v>44958</v>
      </c>
      <c r="S48" s="3">
        <f t="shared" si="6"/>
        <v>44986</v>
      </c>
      <c r="T48" s="3">
        <f t="shared" si="6"/>
        <v>45017</v>
      </c>
      <c r="U48" s="3">
        <f t="shared" si="6"/>
        <v>45047</v>
      </c>
      <c r="V48" s="3">
        <f t="shared" si="6"/>
        <v>45078</v>
      </c>
      <c r="W48" s="3">
        <f>W2</f>
        <v>45108</v>
      </c>
      <c r="X48" s="3">
        <f t="shared" ref="X48:AJ48" si="7">X2</f>
        <v>45139</v>
      </c>
      <c r="Y48" s="3">
        <f t="shared" si="7"/>
        <v>45170</v>
      </c>
      <c r="Z48" s="3">
        <f t="shared" si="7"/>
        <v>45200</v>
      </c>
      <c r="AA48" s="3">
        <f t="shared" si="7"/>
        <v>45231</v>
      </c>
      <c r="AB48" s="3">
        <f t="shared" si="7"/>
        <v>45261</v>
      </c>
      <c r="AC48" s="3">
        <f t="shared" si="7"/>
        <v>45292</v>
      </c>
      <c r="AD48" s="3">
        <f t="shared" si="7"/>
        <v>45323</v>
      </c>
      <c r="AE48" s="3">
        <f t="shared" si="7"/>
        <v>45352</v>
      </c>
      <c r="AF48" s="3">
        <f t="shared" si="7"/>
        <v>45383</v>
      </c>
      <c r="AG48" s="3">
        <f t="shared" si="7"/>
        <v>45413</v>
      </c>
      <c r="AH48" s="3">
        <f t="shared" si="7"/>
        <v>45444</v>
      </c>
      <c r="AI48" s="3">
        <f t="shared" si="7"/>
        <v>45474</v>
      </c>
      <c r="AJ48" s="3">
        <f t="shared" si="7"/>
        <v>45505</v>
      </c>
      <c r="AK48" s="3">
        <f>AK2</f>
        <v>45536</v>
      </c>
      <c r="AL48" s="3">
        <f t="shared" ref="AL48:AN48" si="8">AL2</f>
        <v>45566</v>
      </c>
      <c r="AM48" s="3">
        <f t="shared" si="8"/>
        <v>45597</v>
      </c>
      <c r="AN48" s="3">
        <f t="shared" si="8"/>
        <v>45627</v>
      </c>
    </row>
    <row r="49" spans="1:40">
      <c r="A49" t="str">
        <f>A6</f>
        <v>total per month</v>
      </c>
      <c r="B49" s="6">
        <f>B6</f>
        <v>0</v>
      </c>
      <c r="C49" s="6">
        <f t="shared" ref="C49:V49" si="9">C6</f>
        <v>10800</v>
      </c>
      <c r="D49" s="6">
        <f t="shared" si="9"/>
        <v>0</v>
      </c>
      <c r="E49" s="6">
        <f t="shared" si="9"/>
        <v>2520</v>
      </c>
      <c r="F49" s="6">
        <f t="shared" si="9"/>
        <v>135490</v>
      </c>
      <c r="G49" s="6">
        <f t="shared" si="9"/>
        <v>9120</v>
      </c>
      <c r="H49" s="6">
        <f t="shared" si="9"/>
        <v>47980</v>
      </c>
      <c r="I49" s="6">
        <f t="shared" si="9"/>
        <v>135360</v>
      </c>
      <c r="J49" s="6">
        <f t="shared" si="9"/>
        <v>70790</v>
      </c>
      <c r="K49" s="6">
        <f t="shared" si="9"/>
        <v>24170</v>
      </c>
      <c r="L49" s="6">
        <f t="shared" si="9"/>
        <v>14390</v>
      </c>
      <c r="M49" s="6">
        <f t="shared" si="9"/>
        <v>0</v>
      </c>
      <c r="N49" s="6">
        <f t="shared" si="9"/>
        <v>38750</v>
      </c>
      <c r="O49" s="6">
        <f t="shared" si="9"/>
        <v>52220</v>
      </c>
      <c r="P49" s="6">
        <f t="shared" si="9"/>
        <v>5700</v>
      </c>
      <c r="Q49" s="6">
        <f t="shared" si="9"/>
        <v>56030</v>
      </c>
      <c r="R49" s="6">
        <f t="shared" si="9"/>
        <v>82040</v>
      </c>
      <c r="S49" s="6">
        <f t="shared" si="9"/>
        <v>57000</v>
      </c>
      <c r="T49" s="6">
        <f t="shared" si="9"/>
        <v>56610</v>
      </c>
      <c r="U49" s="6">
        <f t="shared" si="9"/>
        <v>192910</v>
      </c>
      <c r="V49" s="6">
        <f t="shared" si="9"/>
        <v>60640</v>
      </c>
      <c r="W49" s="6">
        <f>W6</f>
        <v>37540</v>
      </c>
      <c r="X49" s="6">
        <f t="shared" ref="X49:AJ49" si="10">X6</f>
        <v>36790</v>
      </c>
      <c r="Y49" s="6">
        <f t="shared" si="10"/>
        <v>0</v>
      </c>
      <c r="Z49" s="6">
        <f t="shared" si="10"/>
        <v>52520</v>
      </c>
      <c r="AA49" s="6">
        <f t="shared" si="10"/>
        <v>47330</v>
      </c>
      <c r="AB49" s="6">
        <f t="shared" si="10"/>
        <v>28730</v>
      </c>
      <c r="AC49" s="6">
        <f t="shared" si="10"/>
        <v>35130</v>
      </c>
      <c r="AD49" s="6">
        <f t="shared" si="10"/>
        <v>20800</v>
      </c>
      <c r="AE49" s="6">
        <f t="shared" si="10"/>
        <v>49970</v>
      </c>
      <c r="AF49" s="6">
        <f t="shared" si="10"/>
        <v>41450</v>
      </c>
      <c r="AG49" s="6">
        <f t="shared" si="10"/>
        <v>98440</v>
      </c>
      <c r="AH49" s="6">
        <f t="shared" si="10"/>
        <v>84540</v>
      </c>
      <c r="AI49" s="6">
        <f t="shared" si="10"/>
        <v>209300</v>
      </c>
      <c r="AJ49" s="6">
        <f t="shared" si="10"/>
        <v>32350</v>
      </c>
      <c r="AK49" s="6">
        <f>AK6</f>
        <v>0</v>
      </c>
      <c r="AL49" s="6">
        <f t="shared" ref="AL49:AN49" si="11">AL6</f>
        <v>34650</v>
      </c>
      <c r="AM49" s="6">
        <f t="shared" si="11"/>
        <v>17650</v>
      </c>
      <c r="AN49" s="6">
        <f t="shared" si="11"/>
        <v>24100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2567</vt:lpstr>
      <vt:lpstr>2568</vt:lpstr>
      <vt:lpstr>2569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Singhapol</dc:creator>
  <cp:lastModifiedBy>KITSIYA CHUCHUAYSUWAN</cp:lastModifiedBy>
  <cp:lastPrinted>2025-05-21T10:13:13Z</cp:lastPrinted>
  <dcterms:created xsi:type="dcterms:W3CDTF">2025-05-21T01:55:41Z</dcterms:created>
  <dcterms:modified xsi:type="dcterms:W3CDTF">2026-07-24T03:46:11Z</dcterms:modified>
</cp:coreProperties>
</file>