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O\Downloads\Project_CS\1. โครงการทุนวิจัย\"/>
    </mc:Choice>
  </mc:AlternateContent>
  <xr:revisionPtr revIDLastSave="0" documentId="13_ncr:1_{B9C7660A-D4FB-40FC-8103-67063F1B1AA2}" xr6:coauthVersionLast="36" xr6:coauthVersionMax="36" xr10:uidLastSave="{00000000-0000-0000-0000-000000000000}"/>
  <bookViews>
    <workbookView xWindow="0" yWindow="0" windowWidth="24000" windowHeight="9225" tabRatio="750" activeTab="2" xr2:uid="{00000000-000D-0000-FFFF-FFFF00000000}"/>
  </bookViews>
  <sheets>
    <sheet name="Basic-68" sheetId="5" r:id="rId1"/>
    <sheet name="Know-68" sheetId="3" r:id="rId2"/>
    <sheet name="New-68" sheetId="6" r:id="rId3"/>
  </sheets>
  <definedNames>
    <definedName name="_xlnm.Print_Titles" localSheetId="1">'Know-68'!$1:$3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6" l="1"/>
  <c r="G7" i="3"/>
  <c r="G20" i="5"/>
  <c r="J5" i="6" l="1"/>
  <c r="I5" i="6"/>
  <c r="H5" i="6"/>
  <c r="J4" i="6"/>
  <c r="I4" i="6"/>
  <c r="H4" i="6"/>
  <c r="H5" i="3"/>
  <c r="I5" i="3"/>
  <c r="J5" i="3"/>
  <c r="H17" i="5" l="1"/>
  <c r="I17" i="5"/>
  <c r="J17" i="5"/>
  <c r="H18" i="5"/>
  <c r="I18" i="5"/>
  <c r="J18" i="5"/>
  <c r="H16" i="5"/>
  <c r="I16" i="5"/>
  <c r="J16" i="5"/>
  <c r="H15" i="5"/>
  <c r="I15" i="5"/>
  <c r="J15" i="5"/>
  <c r="H12" i="5"/>
  <c r="I12" i="5"/>
  <c r="J12" i="5"/>
  <c r="H13" i="5"/>
  <c r="I13" i="5"/>
  <c r="J13" i="5"/>
  <c r="H14" i="5"/>
  <c r="I14" i="5"/>
  <c r="J14" i="5"/>
  <c r="H11" i="5"/>
  <c r="I11" i="5"/>
  <c r="J11" i="5"/>
  <c r="H10" i="5"/>
  <c r="I10" i="5"/>
  <c r="J10" i="5"/>
  <c r="H9" i="5"/>
  <c r="I9" i="5"/>
  <c r="J9" i="5"/>
  <c r="H8" i="5"/>
  <c r="I8" i="5"/>
  <c r="J8" i="5"/>
  <c r="H7" i="5"/>
  <c r="I7" i="5"/>
  <c r="J7" i="5"/>
  <c r="H6" i="5"/>
  <c r="I6" i="5"/>
  <c r="J6" i="5"/>
  <c r="H5" i="5"/>
  <c r="I5" i="5"/>
  <c r="J5" i="5"/>
  <c r="H4" i="5"/>
  <c r="I4" i="5"/>
  <c r="J4" i="5"/>
  <c r="J3" i="5"/>
  <c r="I3" i="5"/>
  <c r="H3" i="5"/>
  <c r="J4" i="3" l="1"/>
  <c r="I4" i="3"/>
  <c r="H4" i="3"/>
</calcChain>
</file>

<file path=xl/sharedStrings.xml><?xml version="1.0" encoding="utf-8"?>
<sst xmlns="http://schemas.openxmlformats.org/spreadsheetml/2006/main" count="156" uniqueCount="104">
  <si>
    <t>ลำดับ</t>
  </si>
  <si>
    <t>เลขที่สัญญา</t>
  </si>
  <si>
    <t>ชื่อโครงการ</t>
  </si>
  <si>
    <t>ชื่อ-สกุล</t>
  </si>
  <si>
    <t>ภาควิชา</t>
  </si>
  <si>
    <t>คณะ</t>
  </si>
  <si>
    <t>งบประมาณที่ได้รับ</t>
  </si>
  <si>
    <t>งวดที่ 1</t>
  </si>
  <si>
    <t>งวดที่ 2</t>
  </si>
  <si>
    <t>งวดที่ 3</t>
  </si>
  <si>
    <t>การดำเนินการ</t>
  </si>
  <si>
    <t>โครงการวิจัยที่ได้รับทุนพัฒนาองค์ความรู้พื้นฐาน ประจำปีงบประมาณ 2568</t>
  </si>
  <si>
    <t>KMUTNB-68-BASIC-01</t>
  </si>
  <si>
    <t>การประมาณอายุของพระสมเด็จด้วยการวิเคราะห์โครงสร้างระดับไมโครของแคลไซต์</t>
  </si>
  <si>
    <t>รองศาสตราจารย์ ดร.น้ำผึ้ง ผังไพบูลย์</t>
  </si>
  <si>
    <t>ภาควิชาฟิสิกส์อุตสาหกรรมและอุปกรณ์การแพทย์</t>
  </si>
  <si>
    <t>คณะวิทยาศาสตร์ประยุกต์</t>
  </si>
  <si>
    <t>KMUTNB-68-BASIC-08</t>
  </si>
  <si>
    <t>การออกแบบโครงสร้างสถาปัตยกรรมระบบตรวจจับการโจมตีสำหรับการประมวลผลแบบคลาวด์เพื่อป้องกันการโจมตีจากเครือข่ายภายใน</t>
  </si>
  <si>
    <t>รองศาสตราจารย์ ดร.ธนภัทร์ อนุศาสน์อมรกุล</t>
  </si>
  <si>
    <t xml:space="preserve">ภาควิชาวิทยาการคอมพิวเตอร์และสารสนเทศ </t>
  </si>
  <si>
    <t>KMUTNB-68-BASIC-12</t>
  </si>
  <si>
    <t>การออกแบบแผนภูมิควบคุมค่าเฉลี่ยเคลื่อนที่ถ่วงน้ำหนักแบบเลขชี้กำลังที่มีประสิทธิภาพเพื่อติดตามค่าเฉลี่ยกระบวนการสำหรับตัวแบบอนุกรมเวลา</t>
  </si>
  <si>
    <t>ผู้ช่วยศาสตราจารย์ ดร.วิลาสินี ปีระจิตร</t>
  </si>
  <si>
    <t xml:space="preserve">ภาควิชาสถิติประยุกต์ </t>
  </si>
  <si>
    <t>KMUTNB-68-BASIC-21</t>
  </si>
  <si>
    <t>การวิเคราะห์ประสิทธิภาพของค่าความยาวรันเฉลี่ยของแผนภูมิควบคุมทางสถิติ EWMA ที่ดัดแปลงใหม่</t>
  </si>
  <si>
    <t>ศาสตราจารย์ ดร.ยุพาภรณ์ อารีพงษ์</t>
  </si>
  <si>
    <t>KMUTNB-68-BASIC-25</t>
  </si>
  <si>
    <t>แผ่นขัดจากเส้นใยแกลบข้าวสำหรับการขัดผิวซัพไฟร์ด้วยกระบวนการใช้สารเคมีร่วมกับแรงทางกล</t>
  </si>
  <si>
    <t>ผู้ช่วยศาสตราจารย์ ดร.เสฎฐวุฒิ ดวงจันทร์</t>
  </si>
  <si>
    <t xml:space="preserve">ภาควิชาฟิสิกส์อุตสาหกรรมและอุปกรณ์การแพทย์ </t>
  </si>
  <si>
    <t>KMUTNB-68-BASIC-31</t>
  </si>
  <si>
    <t>การจำแนกประเภทของภาพยนตร์ด้วยวิธีวิเคราะห์สเปคโตรแกรมและการเรียนรู้ของเครื่อง</t>
  </si>
  <si>
    <t>รองศาสตราจารย์ ดร.ปรวัฒน์ วิสูตรศักดิ์</t>
  </si>
  <si>
    <t>KMUTNB-68-BASIC-33</t>
  </si>
  <si>
    <t>การพัฒนาเซนเซอร์สีอย่างง่ายเพื่อบ่งชี้การติดเชื้อแบคทีเรียในแผ่นปิดแผล</t>
  </si>
  <si>
    <t>ผู้ช่วยศาสตราจารย์ ดร.เสาวภา ถ้ำสิงห์ นิยมไทย</t>
  </si>
  <si>
    <t xml:space="preserve">ภาควิชาเคมีอุตสาหกรรม </t>
  </si>
  <si>
    <t>KMUTNB-68-BASIC-36</t>
  </si>
  <si>
    <t>การประเมินศักยภาพการออกฤทธิ์เชิงหน้าที่ของสารสกัดโปรตีนจากเห็ดกินได้ต่อการส่งเสริมระบบภูมิคุ้มกันและการยับยั้งเซลล์มะเร็ง</t>
  </si>
  <si>
    <t>ผู้ช่วยศาสตราจารย์ ดร.ศรัณยา เศรษฐธนนันท์</t>
  </si>
  <si>
    <t xml:space="preserve">ภาควิชาเทคโนโลยีชีวภาพ </t>
  </si>
  <si>
    <t>KMUTNB-68-BASIC-40</t>
  </si>
  <si>
    <t>การเพิ่มประสิทธิภาพความยาวรันเฉลี่ยของแผนภูมิควบคุมค่าเฉลี่ยเคลื่อนที่ถ่วงน้ำหนักแบบเลขชี้กำลังภายใต้ตัวแบบ SAR(1) ที่มีแนวโน้มกำลังสอง</t>
  </si>
  <si>
    <t>รองศาสตราจารย์ ดร.สุวิมล พันธ์แย้ม</t>
  </si>
  <si>
    <t>KMUTNB-68-BASIC-41</t>
  </si>
  <si>
    <t>สูตรสำเร็จของความยาวรันเฉลี่ยด้วยแผนภูมิควบคุมผสมไม่อิงพารามิเตอร์เพื่อตรวจจับการเปลี่ยนแปลงค่าเฉลี่ยของกระบวนการผลิต</t>
  </si>
  <si>
    <t>ศาสตราจารย์ ดร.เสาวณิต สุขภารังษี</t>
  </si>
  <si>
    <t>KMUTNB-68-BASIC-42</t>
  </si>
  <si>
    <t>การเพิ่มประสิทธิภาพการปกปิดข้อมูลส่วนบุคคลสำหรับการจัดทำแผนที่ชนิดเคลื่อนที่โดยวิธีการเติมเต็มภาพแบบรู้สร้าง</t>
  </si>
  <si>
    <t>ผู้ช่วยศาสตราจารย์ ดร.ลือพล พิพานเมฆาภรณ์</t>
  </si>
  <si>
    <t>KMUTNB-68-BASIC-44</t>
  </si>
  <si>
    <t>การปรับปรุงคุณภาพทางเคมีและกายภาพของชีวมวลด้วยกระบวนการสกัดและกระบวนการทอร์รีแฟคชันภายใต้ความดันเชิงกลเพื่อใช้เป็นเชื้อเพลิงแข็งและวัสดุคาร์บอนแข็งมูลค่าสูง</t>
  </si>
  <si>
    <t>ผู้ช่วยศาสตราจารย์ ดร.สุพาชัย เจษฎาเจิม</t>
  </si>
  <si>
    <t>KMUTNB-68-BASIC-46</t>
  </si>
  <si>
    <t>การดัดแปลงขั้นตอนวิธีหาค่าเหมาะสมที่สุดแบบกลุ่มอนุภาคด้วยภาพที่ดัดแปลงสำหรับการแก้ปัญหาการวัดระดับน้ำ</t>
  </si>
  <si>
    <t>ผู้ช่วยศาสตราจารย์ ดร.เฉียบวุฒิ รัตนวิไลสกุล</t>
  </si>
  <si>
    <t>KMUTNB-68-BASIC-53</t>
  </si>
  <si>
    <t>การค้นหาสารออกฤทธิ์ของพืชไทยต่อการต้านเซลล์มะเร็งและการอักเสบเพื่อการพัฒนายารักษาโรค</t>
  </si>
  <si>
    <t>ผู้ช่วยศาสตราจารย์ ดร.อวัช วิเศษสัย</t>
  </si>
  <si>
    <t>ภาควิชาเคมีอุตสาหกรรม</t>
  </si>
  <si>
    <t>KMUTNB-68-BASIC-57</t>
  </si>
  <si>
    <t>การคัดเลือกและระบุสายพันธุ์แบคทีเรียโพรไบโอติกที่มีศักยภาพลดโคเลสเตอรอลจากผลิตภัณฑ์อาหารหมัก</t>
  </si>
  <si>
    <t>รองศาสตราจารย์ ดร.ศิริขวัญ ทินรัตน์</t>
  </si>
  <si>
    <t>KMUTNB-68-BASIC-61</t>
  </si>
  <si>
    <t>การพัฒนาการวิเคราะห์ความยาวรันเฉลี่ยที่แม่นยำสำหรับการตรวจจับการ เปลี่ยนแปลงค่าเฉลี่ยสำหรับกระบวนการถดถอยในตัวที่มีตัวแบบแนวโน้ม แบบมี และไม่มีฤดูกาลบนแผนภูมิควบคุมผลรวมสะสม</t>
  </si>
  <si>
    <t>ผู้ช่วยศาสตราจารย์ ดร.คณิตา เพ็ชรัตน์</t>
  </si>
  <si>
    <t>KMUTNB-68-KNOW-17</t>
  </si>
  <si>
    <t>สถิติประมาณค่าสำหรับพารามิเตอร์ร่วมของการแจกแจงเบ้ศูนย์เฟ้อ</t>
  </si>
  <si>
    <t>ศาสตราจารย์ ดร.สอาด นิวิศพงศ์</t>
  </si>
  <si>
    <t>KMUTNB-68-KNOW-18</t>
  </si>
  <si>
    <t>การทำบริสุทธิ์สารวิทิซินจากเปลือกเมล็ดถั่วเขียวโดยใช้เทคนิคโครมาโทกราฟีร่วมกับการหมุนเวียนตัวทำละลาย</t>
  </si>
  <si>
    <t>รองศาสตราจารย์ ดร.อมราภรณ์ แก้วชะฎา</t>
  </si>
  <si>
    <t>โครงการวิจัยที่ได้รับทุนพัฒนาองค์ความรู้ใหม่เพื่อตอบสนองอุตสาหกรรมเป้าหมาย ประจำปีงบประมาณ 2568</t>
  </si>
  <si>
    <t xml:space="preserve">ภาควิชาเทคโนโลยีอุตสาหกรรมเกษตร อาหาร และสิ่งแวดล้อม </t>
  </si>
  <si>
    <t>50% ส่งรายงานความก้าวหน้า 705/1 เม.ย.68</t>
  </si>
  <si>
    <t>50% ส่งรายงานความก้าวหน้า 925/22 เม.ย.68</t>
  </si>
  <si>
    <t>50%  ส่งรายงานความก้าวหน้า 859/10 เม.ย.68</t>
  </si>
  <si>
    <t>50% ส่งรายงานความก้าวหน้า 514/17 มี.ค.68</t>
  </si>
  <si>
    <t>50% ส่งรายงานความก้าวหน้า 497/13 มี.ค.68</t>
  </si>
  <si>
    <t>50% ส่งรายงานความก้าวหน้า 535/18 มี.ค.68</t>
  </si>
  <si>
    <t>50% ส่งรายงานความก้าวหน้า 704/1 เม.ย.68</t>
  </si>
  <si>
    <t>50% ส่งรายงานความก้าวหน้า 2691/20 ธ.ค.67</t>
  </si>
  <si>
    <t>50% ส่งรายงานความก้าวหน้า 947/23 เม.ย.68</t>
  </si>
  <si>
    <t>50% ส่งรายงานความก้าวหน้า 611/25 มี.ค.68</t>
  </si>
  <si>
    <t>50% ส่งรายงานความก้าวหน้า 706/1 เม.ย.68</t>
  </si>
  <si>
    <t>50% ส่งรายงานความก้าวหน้า 534/18 มี.ค.68</t>
  </si>
  <si>
    <t>50% ส่งรายงานความก้าวหน้า 768/3 เม.ย.68</t>
  </si>
  <si>
    <t>50% ส่งรายงานความก้าวหน้า 765/3 เม.ย.68</t>
  </si>
  <si>
    <t>50% ส่งรายงานความก้าวหน้า 387/3 มี.ค.68</t>
  </si>
  <si>
    <t>100% ส่งปิดทุน 951/24 เม.ย.68</t>
  </si>
  <si>
    <t>50% ส่งรายงานความก้าวหน้า  498/13 มี.ค.68</t>
  </si>
  <si>
    <t>50% ส่งรายงานความก้าวหน้า  766/3 เม.ย.68</t>
  </si>
  <si>
    <t>โครงการวิจัยที่ได้รับทุนสนับสนุนนักวิจัยรุ่นใหม่ ประจำปีงบประมาณ 2568</t>
  </si>
  <si>
    <t>KMUTNB-68-NEW-02</t>
  </si>
  <si>
    <t>การศึกษาคุณสมบัติเชิงแสงของสารเรืองแสงโมเลกุลขนาดเล็กที่มีหมู่รับอิเล็กตรอนแตกต่างกันสำหรับการใช้งานเพื่อตอบสนองต่อความหนืดและการถ่ายภาพเซลล์มะเร็งตับ</t>
  </si>
  <si>
    <t>อาจารย์ ดร.อรณิชา ไข่เกษ</t>
  </si>
  <si>
    <t>50% ส่งรายงานความก้าวหน้า 701/1 เม.ย.68</t>
  </si>
  <si>
    <t>KMUTNB-68-NEW-08</t>
  </si>
  <si>
    <t>ผลเฉลยเชิงตัวเลขสำหรับสมการผลต่างควอนตัมเศษส่วน</t>
  </si>
  <si>
    <t>อาจารย์ ดร.ชัยยศ กำธรเจริญ</t>
  </si>
  <si>
    <t>ภาควิชาคณิตศาสตร์</t>
  </si>
  <si>
    <t>50% ส่งรายงานความก้าวหน้า 924/22 เม.ย.68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</si>
</sst>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107041E]d\ mmm\ bb;@"/>
    <numFmt numFmtId="167" formatCode="_-[$฿-41E]* #,##0.00_-;\-[$฿-41E]* #,##0.00_-;_-[$฿-41E]* &quot;-&quot;??_-;_-@_-"/>
  </numFmts>
  <fonts count="9"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22"/>
      <scheme val="minor"/>
    </font>
    <font>
      <sz val="14"/>
      <name val="Cordia New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rgb="FF000000"/>
      <name val="TH SarabunPSK"/>
      <family val="2"/>
    </font>
    <font>
      <sz val="16"/>
      <color theme="1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</borders>
  <cellStyleXfs count="16">
    <xf numFmtId="166" fontId="0" fillId="0" borderId="0"/>
    <xf numFmtId="0" fontId="2" fillId="0" borderId="0"/>
    <xf numFmtId="0" fontId="3" fillId="0" borderId="0"/>
    <xf numFmtId="0" fontId="2" fillId="0" borderId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165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3">
    <xf numFmtId="166" fontId="0" fillId="0" borderId="0" xfId="0"/>
    <xf numFmtId="0" fontId="5" fillId="0" borderId="1" xfId="6" applyFont="1" applyBorder="1" applyAlignment="1">
      <alignment horizontal="center" vertical="top" wrapText="1"/>
    </xf>
    <xf numFmtId="0" fontId="5" fillId="0" borderId="1" xfId="6" applyFont="1" applyBorder="1" applyAlignment="1">
      <alignment horizontal="center" vertical="top"/>
    </xf>
    <xf numFmtId="0" fontId="5" fillId="0" borderId="0" xfId="1" applyFont="1" applyFill="1" applyBorder="1" applyAlignment="1">
      <alignment horizontal="left" vertical="top"/>
    </xf>
    <xf numFmtId="0" fontId="6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horizontal="center" vertical="top"/>
    </xf>
    <xf numFmtId="0" fontId="6" fillId="0" borderId="0" xfId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center" vertical="top"/>
    </xf>
    <xf numFmtId="0" fontId="5" fillId="0" borderId="3" xfId="1" applyFont="1" applyFill="1" applyBorder="1" applyAlignment="1">
      <alignment horizontal="center" vertical="top" wrapText="1"/>
    </xf>
    <xf numFmtId="0" fontId="5" fillId="0" borderId="4" xfId="1" applyFont="1" applyFill="1" applyBorder="1" applyAlignment="1">
      <alignment horizontal="center" vertical="top"/>
    </xf>
    <xf numFmtId="0" fontId="5" fillId="0" borderId="3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7" fillId="0" borderId="5" xfId="1" applyFont="1" applyFill="1" applyBorder="1" applyAlignment="1">
      <alignment horizontal="center" vertical="top"/>
    </xf>
    <xf numFmtId="165" fontId="6" fillId="0" borderId="1" xfId="12" applyFont="1" applyFill="1" applyBorder="1" applyAlignment="1">
      <alignment horizontal="left" vertical="top"/>
    </xf>
    <xf numFmtId="0" fontId="5" fillId="0" borderId="1" xfId="1" applyFont="1" applyFill="1" applyBorder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43" fontId="5" fillId="3" borderId="1" xfId="6" applyNumberFormat="1" applyFont="1" applyFill="1" applyBorder="1" applyAlignment="1">
      <alignment horizontal="center" vertical="top"/>
    </xf>
    <xf numFmtId="0" fontId="6" fillId="0" borderId="0" xfId="1" applyFont="1" applyFill="1" applyAlignment="1">
      <alignment horizontal="left" vertical="top"/>
    </xf>
    <xf numFmtId="0" fontId="6" fillId="0" borderId="0" xfId="1" applyFont="1" applyAlignment="1">
      <alignment horizontal="left" vertical="top" wrapText="1"/>
    </xf>
    <xf numFmtId="43" fontId="6" fillId="0" borderId="0" xfId="1" applyNumberFormat="1" applyFont="1" applyAlignment="1">
      <alignment horizontal="center" vertical="top"/>
    </xf>
    <xf numFmtId="43" fontId="5" fillId="0" borderId="1" xfId="6" applyNumberFormat="1" applyFont="1" applyBorder="1" applyAlignment="1">
      <alignment horizontal="center" vertical="top" wrapText="1"/>
    </xf>
    <xf numFmtId="0" fontId="6" fillId="0" borderId="1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vertical="top" wrapText="1"/>
    </xf>
    <xf numFmtId="165" fontId="6" fillId="4" borderId="1" xfId="12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top" wrapText="1"/>
    </xf>
    <xf numFmtId="166" fontId="8" fillId="0" borderId="1" xfId="0" applyFont="1" applyFill="1" applyBorder="1" applyAlignment="1">
      <alignment vertical="top" wrapText="1"/>
    </xf>
    <xf numFmtId="4" fontId="8" fillId="0" borderId="1" xfId="0" applyNumberFormat="1" applyFont="1" applyFill="1" applyBorder="1" applyAlignment="1">
      <alignment vertical="top"/>
    </xf>
    <xf numFmtId="166" fontId="8" fillId="4" borderId="1" xfId="0" applyFont="1" applyFill="1" applyBorder="1" applyAlignment="1">
      <alignment vertical="top" wrapText="1"/>
    </xf>
    <xf numFmtId="4" fontId="8" fillId="4" borderId="1" xfId="0" applyNumberFormat="1" applyFont="1" applyFill="1" applyBorder="1" applyAlignment="1">
      <alignment vertical="top"/>
    </xf>
    <xf numFmtId="166" fontId="8" fillId="0" borderId="1" xfId="0" applyFont="1" applyFill="1" applyBorder="1" applyAlignment="1">
      <alignment vertical="top"/>
    </xf>
    <xf numFmtId="165" fontId="8" fillId="0" borderId="1" xfId="12" applyNumberFormat="1" applyFont="1" applyFill="1" applyBorder="1" applyAlignment="1">
      <alignment vertical="top"/>
    </xf>
    <xf numFmtId="166" fontId="8" fillId="0" borderId="6" xfId="0" applyFont="1" applyFill="1" applyBorder="1" applyAlignment="1">
      <alignment horizontal="left" vertical="top"/>
    </xf>
    <xf numFmtId="166" fontId="8" fillId="0" borderId="6" xfId="0" applyFont="1" applyFill="1" applyBorder="1" applyAlignment="1">
      <alignment horizontal="left" vertical="top" wrapText="1"/>
    </xf>
    <xf numFmtId="165" fontId="8" fillId="0" borderId="7" xfId="12" applyNumberFormat="1" applyFont="1" applyFill="1" applyBorder="1" applyAlignment="1">
      <alignment vertical="top"/>
    </xf>
    <xf numFmtId="0" fontId="7" fillId="0" borderId="1" xfId="1" applyFont="1" applyFill="1" applyBorder="1" applyAlignment="1">
      <alignment horizontal="center" vertical="top"/>
    </xf>
    <xf numFmtId="166" fontId="8" fillId="0" borderId="1" xfId="0" applyFont="1" applyFill="1" applyBorder="1" applyAlignment="1">
      <alignment horizontal="left" vertical="top"/>
    </xf>
    <xf numFmtId="165" fontId="8" fillId="0" borderId="8" xfId="12" applyNumberFormat="1" applyFont="1" applyFill="1" applyBorder="1" applyAlignment="1">
      <alignment vertical="top"/>
    </xf>
    <xf numFmtId="165" fontId="6" fillId="0" borderId="0" xfId="1" applyNumberFormat="1" applyFont="1" applyFill="1" applyBorder="1" applyAlignment="1">
      <alignment horizontal="center" vertical="top"/>
    </xf>
    <xf numFmtId="167" fontId="0" fillId="0" borderId="0" xfId="15" applyNumberFormat="1" applyFont="1"/>
    <xf numFmtId="0" fontId="5" fillId="0" borderId="2" xfId="1" applyFont="1" applyBorder="1" applyAlignment="1">
      <alignment horizontal="center" vertical="top"/>
    </xf>
    <xf numFmtId="0" fontId="5" fillId="0" borderId="0" xfId="1" applyFont="1" applyFill="1" applyBorder="1" applyAlignment="1">
      <alignment horizontal="center" vertical="top"/>
    </xf>
  </cellXfs>
  <cellStyles count="16">
    <cellStyle name="Comma" xfId="12" builtinId="3"/>
    <cellStyle name="Comma 2" xfId="9" xr:uid="{00000000-0005-0000-0000-000001000000}"/>
    <cellStyle name="Comma 2 2" xfId="14" xr:uid="{9BC48FE5-8DDE-4764-9BF5-B660420BAE77}"/>
    <cellStyle name="Currency" xfId="15" builtinId="4"/>
    <cellStyle name="Normal" xfId="0" builtinId="0"/>
    <cellStyle name="Normal 2" xfId="1" xr:uid="{00000000-0005-0000-0000-000003000000}"/>
    <cellStyle name="Normal 2 2" xfId="6" xr:uid="{00000000-0005-0000-0000-000004000000}"/>
    <cellStyle name="Normal 3" xfId="10" xr:uid="{00000000-0005-0000-0000-000005000000}"/>
    <cellStyle name="Normal 3 2" xfId="13" xr:uid="{54C41252-2106-4731-A09F-F8390E76AE13}"/>
    <cellStyle name="เครื่องหมายจุลภาค 2" xfId="5" xr:uid="{00000000-0005-0000-0000-000006000000}"/>
    <cellStyle name="เครื่องหมายจุลภาค 6" xfId="4" xr:uid="{00000000-0005-0000-0000-000007000000}"/>
    <cellStyle name="เครื่องหมายสกุลเงิน 2" xfId="7" xr:uid="{00000000-0005-0000-0000-000008000000}"/>
    <cellStyle name="ปกติ 2 3" xfId="3" xr:uid="{00000000-0005-0000-0000-000009000000}"/>
    <cellStyle name="ปกติ 3" xfId="8" xr:uid="{00000000-0005-0000-0000-00000A000000}"/>
    <cellStyle name="ปกติ 3 2" xfId="11" xr:uid="{00000000-0005-0000-0000-00000B000000}"/>
    <cellStyle name="ปกติ 6" xfId="2" xr:uid="{00000000-0005-0000-0000-00000C000000}"/>
  </cellStyles>
  <dxfs count="0"/>
  <tableStyles count="0" defaultTableStyle="TableStyleMedium2" defaultPivotStyle="PivotStyleLight16"/>
  <colors>
    <mruColors>
      <color rgb="FFCCFF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A15" zoomScale="87" zoomScaleNormal="87" workbookViewId="0">
      <selection activeCell="D23" sqref="D23"/>
    </sheetView>
  </sheetViews>
  <sheetFormatPr defaultColWidth="10.42578125" defaultRowHeight="21.75"/>
  <cols>
    <col min="1" max="1" width="5.7109375" style="16" bestFit="1" customWidth="1"/>
    <col min="2" max="2" width="22.7109375" style="19" customWidth="1"/>
    <col min="3" max="3" width="34.28515625" style="16" customWidth="1"/>
    <col min="4" max="4" width="33.140625" style="19" customWidth="1"/>
    <col min="5" max="5" width="15.42578125" style="16" customWidth="1"/>
    <col min="6" max="6" width="16.28515625" style="16" customWidth="1"/>
    <col min="7" max="7" width="17" style="20" customWidth="1"/>
    <col min="8" max="8" width="11" style="20" bestFit="1" customWidth="1"/>
    <col min="9" max="10" width="10" style="20" bestFit="1" customWidth="1"/>
    <col min="11" max="11" width="34.7109375" style="16" customWidth="1"/>
    <col min="12" max="16384" width="10.42578125" style="16"/>
  </cols>
  <sheetData>
    <row r="1" spans="1:11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1"/>
    </row>
    <row r="2" spans="1:11">
      <c r="A2" s="2" t="s">
        <v>0</v>
      </c>
      <c r="B2" s="1" t="s">
        <v>1</v>
      </c>
      <c r="C2" s="2" t="s">
        <v>3</v>
      </c>
      <c r="D2" s="1" t="s">
        <v>2</v>
      </c>
      <c r="E2" s="2" t="s">
        <v>4</v>
      </c>
      <c r="F2" s="2" t="s">
        <v>5</v>
      </c>
      <c r="G2" s="21" t="s">
        <v>6</v>
      </c>
      <c r="H2" s="17" t="s">
        <v>7</v>
      </c>
      <c r="I2" s="17" t="s">
        <v>8</v>
      </c>
      <c r="J2" s="17" t="s">
        <v>9</v>
      </c>
      <c r="K2" s="25" t="s">
        <v>10</v>
      </c>
    </row>
    <row r="3" spans="1:11" s="18" customFormat="1" ht="144">
      <c r="A3" s="22">
        <v>1</v>
      </c>
      <c r="B3" s="27" t="s">
        <v>12</v>
      </c>
      <c r="C3" s="27" t="s">
        <v>13</v>
      </c>
      <c r="D3" s="27" t="s">
        <v>14</v>
      </c>
      <c r="E3" s="27" t="s">
        <v>15</v>
      </c>
      <c r="F3" s="27" t="s">
        <v>16</v>
      </c>
      <c r="G3" s="28">
        <v>100000</v>
      </c>
      <c r="H3" s="24">
        <f t="shared" ref="H3:H11" si="0">G3*50/100</f>
        <v>50000</v>
      </c>
      <c r="I3" s="24">
        <f t="shared" ref="I3:I11" si="1">G3*30/100</f>
        <v>30000</v>
      </c>
      <c r="J3" s="14">
        <f t="shared" ref="J3:J11" si="2">G3*20/100</f>
        <v>20000</v>
      </c>
      <c r="K3" s="23" t="s">
        <v>78</v>
      </c>
    </row>
    <row r="4" spans="1:11" s="18" customFormat="1" ht="144">
      <c r="A4" s="22">
        <v>2</v>
      </c>
      <c r="B4" s="27" t="s">
        <v>17</v>
      </c>
      <c r="C4" s="27" t="s">
        <v>18</v>
      </c>
      <c r="D4" s="27" t="s">
        <v>19</v>
      </c>
      <c r="E4" s="27" t="s">
        <v>20</v>
      </c>
      <c r="F4" s="27" t="s">
        <v>16</v>
      </c>
      <c r="G4" s="28">
        <v>100000</v>
      </c>
      <c r="H4" s="24">
        <f t="shared" si="0"/>
        <v>50000</v>
      </c>
      <c r="I4" s="24">
        <f t="shared" si="1"/>
        <v>30000</v>
      </c>
      <c r="J4" s="14">
        <f t="shared" si="2"/>
        <v>20000</v>
      </c>
      <c r="K4" s="23" t="s">
        <v>80</v>
      </c>
    </row>
    <row r="5" spans="1:11" ht="168">
      <c r="A5" s="22">
        <v>3</v>
      </c>
      <c r="B5" s="27" t="s">
        <v>21</v>
      </c>
      <c r="C5" s="27" t="s">
        <v>22</v>
      </c>
      <c r="D5" s="27" t="s">
        <v>23</v>
      </c>
      <c r="E5" s="27" t="s">
        <v>24</v>
      </c>
      <c r="F5" s="27" t="s">
        <v>16</v>
      </c>
      <c r="G5" s="28">
        <v>300000</v>
      </c>
      <c r="H5" s="24">
        <f t="shared" si="0"/>
        <v>150000</v>
      </c>
      <c r="I5" s="24">
        <f t="shared" si="1"/>
        <v>90000</v>
      </c>
      <c r="J5" s="14">
        <f t="shared" si="2"/>
        <v>60000</v>
      </c>
      <c r="K5" s="23" t="s">
        <v>79</v>
      </c>
    </row>
    <row r="6" spans="1:11" ht="96">
      <c r="A6" s="22">
        <v>4</v>
      </c>
      <c r="B6" s="27" t="s">
        <v>25</v>
      </c>
      <c r="C6" s="27" t="s">
        <v>26</v>
      </c>
      <c r="D6" s="27" t="s">
        <v>27</v>
      </c>
      <c r="E6" s="27" t="s">
        <v>24</v>
      </c>
      <c r="F6" s="27" t="s">
        <v>16</v>
      </c>
      <c r="G6" s="28">
        <v>300000</v>
      </c>
      <c r="H6" s="24">
        <f t="shared" si="0"/>
        <v>150000</v>
      </c>
      <c r="I6" s="24">
        <f t="shared" si="1"/>
        <v>90000</v>
      </c>
      <c r="J6" s="14">
        <f t="shared" si="2"/>
        <v>60000</v>
      </c>
      <c r="K6" s="23" t="s">
        <v>81</v>
      </c>
    </row>
    <row r="7" spans="1:11" ht="144">
      <c r="A7" s="22">
        <v>5</v>
      </c>
      <c r="B7" s="27" t="s">
        <v>28</v>
      </c>
      <c r="C7" s="27" t="s">
        <v>29</v>
      </c>
      <c r="D7" s="27" t="s">
        <v>30</v>
      </c>
      <c r="E7" s="27" t="s">
        <v>31</v>
      </c>
      <c r="F7" s="27" t="s">
        <v>16</v>
      </c>
      <c r="G7" s="28">
        <v>100000</v>
      </c>
      <c r="H7" s="24">
        <f t="shared" si="0"/>
        <v>50000</v>
      </c>
      <c r="I7" s="24">
        <f t="shared" si="1"/>
        <v>30000</v>
      </c>
      <c r="J7" s="14">
        <f t="shared" si="2"/>
        <v>20000</v>
      </c>
      <c r="K7" s="23" t="s">
        <v>82</v>
      </c>
    </row>
    <row r="8" spans="1:11" ht="120">
      <c r="A8" s="22">
        <v>6</v>
      </c>
      <c r="B8" s="27" t="s">
        <v>32</v>
      </c>
      <c r="C8" s="27" t="s">
        <v>33</v>
      </c>
      <c r="D8" s="27" t="s">
        <v>34</v>
      </c>
      <c r="E8" s="27" t="s">
        <v>20</v>
      </c>
      <c r="F8" s="27" t="s">
        <v>16</v>
      </c>
      <c r="G8" s="28">
        <v>200000</v>
      </c>
      <c r="H8" s="24">
        <f t="shared" si="0"/>
        <v>100000</v>
      </c>
      <c r="I8" s="24">
        <f t="shared" si="1"/>
        <v>60000</v>
      </c>
      <c r="J8" s="14">
        <f t="shared" si="2"/>
        <v>40000</v>
      </c>
      <c r="K8" s="23" t="s">
        <v>83</v>
      </c>
    </row>
    <row r="9" spans="1:11" ht="96">
      <c r="A9" s="22">
        <v>7</v>
      </c>
      <c r="B9" s="27" t="s">
        <v>35</v>
      </c>
      <c r="C9" s="27" t="s">
        <v>36</v>
      </c>
      <c r="D9" s="27" t="s">
        <v>37</v>
      </c>
      <c r="E9" s="27" t="s">
        <v>38</v>
      </c>
      <c r="F9" s="27" t="s">
        <v>16</v>
      </c>
      <c r="G9" s="28">
        <v>100000</v>
      </c>
      <c r="H9" s="24">
        <f t="shared" si="0"/>
        <v>50000</v>
      </c>
      <c r="I9" s="24">
        <f t="shared" si="1"/>
        <v>30000</v>
      </c>
      <c r="J9" s="14">
        <f t="shared" si="2"/>
        <v>20000</v>
      </c>
      <c r="K9" s="23" t="s">
        <v>84</v>
      </c>
    </row>
    <row r="10" spans="1:11" ht="144">
      <c r="A10" s="22">
        <v>8</v>
      </c>
      <c r="B10" s="27" t="s">
        <v>39</v>
      </c>
      <c r="C10" s="27" t="s">
        <v>40</v>
      </c>
      <c r="D10" s="27" t="s">
        <v>41</v>
      </c>
      <c r="E10" s="27" t="s">
        <v>42</v>
      </c>
      <c r="F10" s="27" t="s">
        <v>16</v>
      </c>
      <c r="G10" s="28">
        <v>200000</v>
      </c>
      <c r="H10" s="24">
        <f t="shared" si="0"/>
        <v>100000</v>
      </c>
      <c r="I10" s="24">
        <f t="shared" si="1"/>
        <v>60000</v>
      </c>
      <c r="J10" s="14">
        <f t="shared" si="2"/>
        <v>40000</v>
      </c>
      <c r="K10" s="23" t="s">
        <v>85</v>
      </c>
    </row>
    <row r="11" spans="1:11" ht="144">
      <c r="A11" s="22">
        <v>9</v>
      </c>
      <c r="B11" s="27" t="s">
        <v>43</v>
      </c>
      <c r="C11" s="27" t="s">
        <v>44</v>
      </c>
      <c r="D11" s="27" t="s">
        <v>45</v>
      </c>
      <c r="E11" s="27" t="s">
        <v>24</v>
      </c>
      <c r="F11" s="27" t="s">
        <v>16</v>
      </c>
      <c r="G11" s="28">
        <v>200000</v>
      </c>
      <c r="H11" s="24">
        <f t="shared" si="0"/>
        <v>100000</v>
      </c>
      <c r="I11" s="24">
        <f t="shared" si="1"/>
        <v>60000</v>
      </c>
      <c r="J11" s="14">
        <f t="shared" si="2"/>
        <v>40000</v>
      </c>
      <c r="K11" s="23" t="s">
        <v>86</v>
      </c>
    </row>
    <row r="12" spans="1:11" ht="144">
      <c r="A12" s="22">
        <v>10</v>
      </c>
      <c r="B12" s="27" t="s">
        <v>46</v>
      </c>
      <c r="C12" s="27" t="s">
        <v>47</v>
      </c>
      <c r="D12" s="27" t="s">
        <v>48</v>
      </c>
      <c r="E12" s="27" t="s">
        <v>24</v>
      </c>
      <c r="F12" s="27" t="s">
        <v>16</v>
      </c>
      <c r="G12" s="28">
        <v>300000</v>
      </c>
      <c r="H12" s="24">
        <f t="shared" ref="H12:H18" si="3">G12*50/100</f>
        <v>150000</v>
      </c>
      <c r="I12" s="24">
        <f t="shared" ref="I12:I14" si="4">G12*30/100</f>
        <v>90000</v>
      </c>
      <c r="J12" s="14">
        <f t="shared" ref="J12:J14" si="5">G12*20/100</f>
        <v>60000</v>
      </c>
      <c r="K12" s="23" t="s">
        <v>87</v>
      </c>
    </row>
    <row r="13" spans="1:11" ht="120">
      <c r="A13" s="22">
        <v>11</v>
      </c>
      <c r="B13" s="27" t="s">
        <v>49</v>
      </c>
      <c r="C13" s="27" t="s">
        <v>50</v>
      </c>
      <c r="D13" s="27" t="s">
        <v>51</v>
      </c>
      <c r="E13" s="27" t="s">
        <v>20</v>
      </c>
      <c r="F13" s="27" t="s">
        <v>16</v>
      </c>
      <c r="G13" s="28">
        <v>100000</v>
      </c>
      <c r="H13" s="24">
        <f t="shared" si="3"/>
        <v>50000</v>
      </c>
      <c r="I13" s="24">
        <f t="shared" si="4"/>
        <v>30000</v>
      </c>
      <c r="J13" s="14">
        <f t="shared" si="5"/>
        <v>20000</v>
      </c>
      <c r="K13" s="23" t="s">
        <v>88</v>
      </c>
    </row>
    <row r="14" spans="1:11" ht="192">
      <c r="A14" s="22">
        <v>12</v>
      </c>
      <c r="B14" s="27" t="s">
        <v>52</v>
      </c>
      <c r="C14" s="27" t="s">
        <v>53</v>
      </c>
      <c r="D14" s="27" t="s">
        <v>54</v>
      </c>
      <c r="E14" s="27" t="s">
        <v>38</v>
      </c>
      <c r="F14" s="27" t="s">
        <v>16</v>
      </c>
      <c r="G14" s="28">
        <v>200000</v>
      </c>
      <c r="H14" s="24">
        <f t="shared" si="3"/>
        <v>100000</v>
      </c>
      <c r="I14" s="24">
        <f t="shared" si="4"/>
        <v>60000</v>
      </c>
      <c r="J14" s="14">
        <f t="shared" si="5"/>
        <v>40000</v>
      </c>
      <c r="K14" s="23" t="s">
        <v>89</v>
      </c>
    </row>
    <row r="15" spans="1:11" ht="120">
      <c r="A15" s="22">
        <v>13</v>
      </c>
      <c r="B15" s="27" t="s">
        <v>55</v>
      </c>
      <c r="C15" s="27" t="s">
        <v>56</v>
      </c>
      <c r="D15" s="27" t="s">
        <v>57</v>
      </c>
      <c r="E15" s="27" t="s">
        <v>20</v>
      </c>
      <c r="F15" s="27" t="s">
        <v>16</v>
      </c>
      <c r="G15" s="28">
        <v>100000</v>
      </c>
      <c r="H15" s="24">
        <f t="shared" si="3"/>
        <v>50000</v>
      </c>
      <c r="I15" s="24">
        <f t="shared" ref="I15" si="6">G15*30/100</f>
        <v>30000</v>
      </c>
      <c r="J15" s="14">
        <f t="shared" ref="J15" si="7">G15*20/100</f>
        <v>20000</v>
      </c>
      <c r="K15" s="23" t="s">
        <v>90</v>
      </c>
    </row>
    <row r="16" spans="1:11" ht="120">
      <c r="A16" s="22">
        <v>14</v>
      </c>
      <c r="B16" s="29" t="s">
        <v>58</v>
      </c>
      <c r="C16" s="29" t="s">
        <v>59</v>
      </c>
      <c r="D16" s="29" t="s">
        <v>60</v>
      </c>
      <c r="E16" s="29" t="s">
        <v>61</v>
      </c>
      <c r="F16" s="29" t="s">
        <v>16</v>
      </c>
      <c r="G16" s="30">
        <v>200000</v>
      </c>
      <c r="H16" s="24">
        <f t="shared" si="3"/>
        <v>100000</v>
      </c>
      <c r="I16" s="24">
        <f t="shared" ref="I16" si="8">G16*30/100</f>
        <v>60000</v>
      </c>
      <c r="J16" s="24">
        <f t="shared" ref="J16" si="9">G16*20/100</f>
        <v>40000</v>
      </c>
      <c r="K16" s="26" t="s">
        <v>91</v>
      </c>
    </row>
    <row r="17" spans="1:11" ht="120">
      <c r="A17" s="22">
        <v>15</v>
      </c>
      <c r="B17" s="27" t="s">
        <v>62</v>
      </c>
      <c r="C17" s="27" t="s">
        <v>63</v>
      </c>
      <c r="D17" s="27" t="s">
        <v>64</v>
      </c>
      <c r="E17" s="27" t="s">
        <v>42</v>
      </c>
      <c r="F17" s="27" t="s">
        <v>16</v>
      </c>
      <c r="G17" s="28">
        <v>100000</v>
      </c>
      <c r="H17" s="24">
        <f t="shared" si="3"/>
        <v>50000</v>
      </c>
      <c r="I17" s="24">
        <f t="shared" ref="I17:I18" si="10">G17*30/100</f>
        <v>30000</v>
      </c>
      <c r="J17" s="14">
        <f t="shared" ref="J17:J18" si="11">G17*20/100</f>
        <v>20000</v>
      </c>
      <c r="K17" s="23" t="s">
        <v>92</v>
      </c>
    </row>
    <row r="18" spans="1:11" ht="240">
      <c r="A18" s="22">
        <v>16</v>
      </c>
      <c r="B18" s="27" t="s">
        <v>65</v>
      </c>
      <c r="C18" s="27" t="s">
        <v>66</v>
      </c>
      <c r="D18" s="27" t="s">
        <v>67</v>
      </c>
      <c r="E18" s="27" t="s">
        <v>24</v>
      </c>
      <c r="F18" s="27" t="s">
        <v>16</v>
      </c>
      <c r="G18" s="28">
        <v>200000</v>
      </c>
      <c r="H18" s="24">
        <f t="shared" si="3"/>
        <v>100000</v>
      </c>
      <c r="I18" s="24">
        <f t="shared" si="10"/>
        <v>60000</v>
      </c>
      <c r="J18" s="14">
        <f t="shared" si="11"/>
        <v>40000</v>
      </c>
      <c r="K18" s="23" t="s">
        <v>93</v>
      </c>
    </row>
    <row r="20" spans="1:11">
      <c r="G20" s="20">
        <f>SUM(G3:G19)</f>
        <v>2800000</v>
      </c>
    </row>
  </sheetData>
  <mergeCells count="1">
    <mergeCell ref="A1:J1"/>
  </mergeCells>
  <pageMargins left="0.5" right="0.3" top="0.5" bottom="0.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view="pageBreakPreview" zoomScaleNormal="90" zoomScaleSheetLayoutView="100" workbookViewId="0">
      <selection activeCell="G5" sqref="G5"/>
    </sheetView>
  </sheetViews>
  <sheetFormatPr defaultColWidth="10.28515625" defaultRowHeight="21.75"/>
  <cols>
    <col min="1" max="1" width="5.42578125" style="5" customWidth="1"/>
    <col min="2" max="2" width="21.5703125" style="6" customWidth="1"/>
    <col min="3" max="3" width="23.85546875" style="5" customWidth="1"/>
    <col min="4" max="4" width="35.42578125" style="7" bestFit="1" customWidth="1"/>
    <col min="5" max="5" width="19" style="5" customWidth="1"/>
    <col min="6" max="6" width="15.5703125" style="5" customWidth="1"/>
    <col min="7" max="7" width="14.140625" style="5" customWidth="1"/>
    <col min="8" max="9" width="13.42578125" style="5" bestFit="1" customWidth="1"/>
    <col min="10" max="10" width="13.28515625" style="5" bestFit="1" customWidth="1"/>
    <col min="11" max="11" width="43.42578125" style="5" customWidth="1"/>
    <col min="12" max="16384" width="10.28515625" style="4"/>
  </cols>
  <sheetData>
    <row r="1" spans="1:11">
      <c r="A1" s="42" t="s">
        <v>74</v>
      </c>
      <c r="B1" s="42"/>
      <c r="C1" s="42"/>
      <c r="D1" s="42"/>
      <c r="E1" s="42"/>
      <c r="F1" s="42"/>
      <c r="G1" s="42"/>
      <c r="H1" s="42"/>
      <c r="I1" s="42"/>
      <c r="J1" s="42"/>
      <c r="K1" s="3"/>
    </row>
    <row r="3" spans="1:11" ht="43.5">
      <c r="A3" s="8" t="s">
        <v>0</v>
      </c>
      <c r="B3" s="9" t="s">
        <v>1</v>
      </c>
      <c r="C3" s="10" t="s">
        <v>3</v>
      </c>
      <c r="D3" s="9" t="s">
        <v>2</v>
      </c>
      <c r="E3" s="11" t="s">
        <v>4</v>
      </c>
      <c r="F3" s="11" t="s">
        <v>5</v>
      </c>
      <c r="G3" s="15" t="s">
        <v>6</v>
      </c>
      <c r="H3" s="12" t="s">
        <v>7</v>
      </c>
      <c r="I3" s="12" t="s">
        <v>8</v>
      </c>
      <c r="J3" s="12" t="s">
        <v>9</v>
      </c>
      <c r="K3" s="25" t="s">
        <v>10</v>
      </c>
    </row>
    <row r="4" spans="1:11" ht="120">
      <c r="A4" s="13">
        <v>1</v>
      </c>
      <c r="B4" s="31" t="s">
        <v>68</v>
      </c>
      <c r="C4" s="27" t="s">
        <v>69</v>
      </c>
      <c r="D4" s="31" t="s">
        <v>70</v>
      </c>
      <c r="E4" s="27" t="s">
        <v>24</v>
      </c>
      <c r="F4" s="27" t="s">
        <v>16</v>
      </c>
      <c r="G4" s="32">
        <v>450000</v>
      </c>
      <c r="H4" s="24">
        <f t="shared" ref="H4" si="0">G4*0.5</f>
        <v>225000</v>
      </c>
      <c r="I4" s="24">
        <f t="shared" ref="I4" si="1">G4*0.3</f>
        <v>135000</v>
      </c>
      <c r="J4" s="14">
        <f t="shared" ref="J4" si="2">G4*0.2</f>
        <v>90000</v>
      </c>
      <c r="K4" s="23" t="s">
        <v>76</v>
      </c>
    </row>
    <row r="5" spans="1:11" ht="216">
      <c r="A5" s="5">
        <v>2</v>
      </c>
      <c r="B5" s="31" t="s">
        <v>71</v>
      </c>
      <c r="C5" s="27" t="s">
        <v>72</v>
      </c>
      <c r="D5" s="31" t="s">
        <v>73</v>
      </c>
      <c r="E5" s="27" t="s">
        <v>75</v>
      </c>
      <c r="F5" s="27" t="s">
        <v>16</v>
      </c>
      <c r="G5" s="32">
        <v>150000</v>
      </c>
      <c r="H5" s="24">
        <f t="shared" ref="H5" si="3">G5*0.5</f>
        <v>75000</v>
      </c>
      <c r="I5" s="24">
        <f t="shared" ref="I5" si="4">G5*0.3</f>
        <v>45000</v>
      </c>
      <c r="J5" s="14">
        <f t="shared" ref="J5" si="5">G5*0.2</f>
        <v>30000</v>
      </c>
      <c r="K5" s="23" t="s">
        <v>77</v>
      </c>
    </row>
    <row r="7" spans="1:11">
      <c r="G7" s="39">
        <f>SUM(G4:G6)</f>
        <v>600000</v>
      </c>
    </row>
  </sheetData>
  <mergeCells count="1">
    <mergeCell ref="A1:J1"/>
  </mergeCells>
  <pageMargins left="0.31496062992126" right="0.31496062992126" top="0.39370078740157499" bottom="0.196850393700787" header="0.31496062992126" footer="0.31496062992126"/>
  <pageSetup paperSize="9" fitToHeight="1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4E1A-98AE-4A1B-93AE-0C1176240170}">
  <dimension ref="A1:K7"/>
  <sheetViews>
    <sheetView tabSelected="1" workbookViewId="0">
      <selection activeCell="E9" sqref="E9"/>
    </sheetView>
  </sheetViews>
  <sheetFormatPr defaultRowHeight="21.75"/>
  <cols>
    <col min="1" max="1" width="5.28515625" bestFit="1" customWidth="1"/>
    <col min="2" max="2" width="21.5703125" bestFit="1" customWidth="1"/>
    <col min="3" max="3" width="31" customWidth="1"/>
    <col min="4" max="4" width="35.42578125" bestFit="1" customWidth="1"/>
    <col min="5" max="5" width="23.28515625" customWidth="1"/>
    <col min="6" max="6" width="22.42578125" customWidth="1"/>
    <col min="7" max="7" width="12.140625" bestFit="1" customWidth="1"/>
    <col min="8" max="9" width="11" bestFit="1" customWidth="1"/>
    <col min="10" max="10" width="10" bestFit="1" customWidth="1"/>
    <col min="11" max="11" width="25.42578125" customWidth="1"/>
  </cols>
  <sheetData>
    <row r="1" spans="1:11">
      <c r="A1" s="42" t="s">
        <v>94</v>
      </c>
      <c r="B1" s="42"/>
      <c r="C1" s="42"/>
      <c r="D1" s="42"/>
      <c r="E1" s="42"/>
      <c r="F1" s="42"/>
      <c r="G1" s="42"/>
      <c r="H1" s="42"/>
      <c r="I1" s="42"/>
      <c r="J1" s="42"/>
      <c r="K1" s="3"/>
    </row>
    <row r="2" spans="1:11">
      <c r="A2" s="5"/>
      <c r="B2" s="6"/>
      <c r="C2" s="5"/>
      <c r="D2" s="7"/>
      <c r="E2" s="5"/>
      <c r="F2" s="5"/>
      <c r="G2" s="5"/>
      <c r="H2" s="5"/>
      <c r="I2" s="5"/>
      <c r="J2" s="5"/>
      <c r="K2" s="5"/>
    </row>
    <row r="3" spans="1:11" ht="43.5">
      <c r="A3" s="8" t="s">
        <v>0</v>
      </c>
      <c r="B3" s="15" t="s">
        <v>1</v>
      </c>
      <c r="C3" s="8" t="s">
        <v>3</v>
      </c>
      <c r="D3" s="15" t="s">
        <v>2</v>
      </c>
      <c r="E3" s="8" t="s">
        <v>4</v>
      </c>
      <c r="F3" s="8" t="s">
        <v>5</v>
      </c>
      <c r="G3" s="15" t="s">
        <v>6</v>
      </c>
      <c r="H3" s="12" t="s">
        <v>7</v>
      </c>
      <c r="I3" s="12" t="s">
        <v>8</v>
      </c>
      <c r="J3" s="12" t="s">
        <v>9</v>
      </c>
      <c r="K3" s="25" t="s">
        <v>10</v>
      </c>
    </row>
    <row r="4" spans="1:11" ht="192">
      <c r="A4" s="36">
        <v>1</v>
      </c>
      <c r="B4" s="37" t="s">
        <v>95</v>
      </c>
      <c r="C4" s="34" t="s">
        <v>96</v>
      </c>
      <c r="D4" s="33" t="s">
        <v>97</v>
      </c>
      <c r="E4" s="34" t="s">
        <v>61</v>
      </c>
      <c r="F4" s="34" t="s">
        <v>16</v>
      </c>
      <c r="G4" s="38">
        <v>100000</v>
      </c>
      <c r="H4" s="24">
        <f t="shared" ref="H4:H5" si="0">G4*0.5</f>
        <v>50000</v>
      </c>
      <c r="I4" s="24">
        <f t="shared" ref="I4:I5" si="1">G4*0.3</f>
        <v>30000</v>
      </c>
      <c r="J4" s="14">
        <f t="shared" ref="J4:J5" si="2">G4*0.2</f>
        <v>20000</v>
      </c>
      <c r="K4" s="23" t="s">
        <v>98</v>
      </c>
    </row>
    <row r="5" spans="1:11" ht="72">
      <c r="A5" s="22">
        <v>2</v>
      </c>
      <c r="B5" s="37" t="s">
        <v>99</v>
      </c>
      <c r="C5" s="34" t="s">
        <v>100</v>
      </c>
      <c r="D5" s="33" t="s">
        <v>101</v>
      </c>
      <c r="E5" s="34" t="s">
        <v>102</v>
      </c>
      <c r="F5" s="34" t="s">
        <v>16</v>
      </c>
      <c r="G5" s="35">
        <v>100000</v>
      </c>
      <c r="H5" s="24">
        <f t="shared" si="0"/>
        <v>50000</v>
      </c>
      <c r="I5" s="24">
        <f t="shared" si="1"/>
        <v>30000</v>
      </c>
      <c r="J5" s="14">
        <f t="shared" si="2"/>
        <v>20000</v>
      </c>
      <c r="K5" s="23" t="s">
        <v>103</v>
      </c>
    </row>
    <row r="7" spans="1:11">
      <c r="G7" s="40">
        <f>G4+G5</f>
        <v>200000</v>
      </c>
    </row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Basic-68</vt:lpstr>
      <vt:lpstr>Know-68</vt:lpstr>
      <vt:lpstr>New-68</vt:lpstr>
      <vt:lpstr>'Know-68'!Print_Titles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ChanigaC</dc:creator>
  <cp:lastModifiedBy>KITSIYA CHUCHUAYSUWAN</cp:lastModifiedBy>
  <cp:lastPrinted>2022-04-21T03:54:20Z</cp:lastPrinted>
  <dcterms:created xsi:type="dcterms:W3CDTF">2020-10-22T04:26:14Z</dcterms:created>
  <dcterms:modified xsi:type="dcterms:W3CDTF">2026-07-24T03:34:06Z</dcterms:modified>
</cp:coreProperties>
</file>