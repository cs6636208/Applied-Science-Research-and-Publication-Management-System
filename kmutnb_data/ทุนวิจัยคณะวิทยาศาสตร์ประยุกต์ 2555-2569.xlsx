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C:\Users\user\Downloads\Special Project\Project_CS\"/>
    </mc:Choice>
  </mc:AlternateContent>
  <xr:revisionPtr revIDLastSave="0" documentId="13_ncr:1_{C66378F4-D8BA-45F1-A692-8753F5C7AF3A}" xr6:coauthVersionLast="47" xr6:coauthVersionMax="47" xr10:uidLastSave="{00000000-0000-0000-0000-000000000000}"/>
  <bookViews>
    <workbookView xWindow="-108" yWindow="-108" windowWidth="23256" windowHeight="12456" firstSheet="2" activeTab="9" xr2:uid="{00000000-000D-0000-FFFF-FFFF00000000}"/>
  </bookViews>
  <sheets>
    <sheet name="2555" sheetId="1" r:id="rId1"/>
    <sheet name="2556" sheetId="2" r:id="rId2"/>
    <sheet name="2557" sheetId="5" r:id="rId3"/>
    <sheet name="2558 " sheetId="6" r:id="rId4"/>
    <sheet name="2559" sheetId="7" r:id="rId5"/>
    <sheet name="2560 " sheetId="9" r:id="rId6"/>
    <sheet name="2561" sheetId="10" r:id="rId7"/>
    <sheet name="2562" sheetId="26" r:id="rId8"/>
    <sheet name="2563" sheetId="28" r:id="rId9"/>
    <sheet name="2564" sheetId="32" r:id="rId10"/>
    <sheet name="2565" sheetId="34" r:id="rId11"/>
    <sheet name="2566" sheetId="36" r:id="rId12"/>
    <sheet name="2567" sheetId="37" r:id="rId13"/>
    <sheet name="2568" sheetId="38" r:id="rId14"/>
    <sheet name="2569" sheetId="39" r:id="rId15"/>
  </sheets>
  <definedNames>
    <definedName name="_xlnm._FilterDatabase" localSheetId="1" hidden="1">'2556'!$A$3:$O$46</definedName>
    <definedName name="_xlnm._FilterDatabase" localSheetId="6" hidden="1">'2561'!$A$3:$Q$52</definedName>
    <definedName name="_xlnm._FilterDatabase" localSheetId="7" hidden="1">'2562'!$A$3:$S$45</definedName>
    <definedName name="_xlnm._FilterDatabase" localSheetId="8" hidden="1">'2563'!$A$3:$R$37</definedName>
    <definedName name="_xlnm.Print_Titles" localSheetId="0">'2555'!$1:$3</definedName>
    <definedName name="_xlnm.Print_Titles" localSheetId="9">'2564'!$1:$2</definedName>
    <definedName name="TCI" localSheetId="9">#REF!</definedName>
    <definedName name="TCI" localSheetId="11">#REF!</definedName>
    <definedName name="TCI" localSheetId="13">#REF!</definedName>
    <definedName name="TCI" localSheetId="14">#REF!</definedName>
    <definedName name="TCI">#REF!</definedName>
    <definedName name="ฐานข้อมูล" localSheetId="9">#REF!</definedName>
    <definedName name="ฐานข้อมูล" localSheetId="11">#REF!</definedName>
    <definedName name="ฐานข้อมูล" localSheetId="13">#REF!</definedName>
    <definedName name="ฐานข้อมูล" localSheetId="14">#REF!</definedName>
    <definedName name="ฐานข้อมู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38" l="1"/>
  <c r="G28" i="36" l="1"/>
  <c r="M41" i="34" l="1"/>
  <c r="H39" i="34" l="1"/>
  <c r="L39" i="34" s="1"/>
  <c r="H38" i="34"/>
  <c r="L38" i="34" s="1"/>
  <c r="N38" i="34" s="1"/>
  <c r="H37" i="34"/>
  <c r="L37" i="34" s="1"/>
  <c r="N37" i="34" s="1"/>
  <c r="H36" i="34"/>
  <c r="L36" i="34" s="1"/>
  <c r="N36" i="34" s="1"/>
  <c r="H35" i="34"/>
  <c r="L35" i="34" s="1"/>
  <c r="H5" i="34"/>
  <c r="L5" i="34" s="1"/>
  <c r="N5" i="34" s="1"/>
  <c r="H6" i="34"/>
  <c r="L6" i="34" s="1"/>
  <c r="N6" i="34" s="1"/>
  <c r="H7" i="34"/>
  <c r="L7" i="34" s="1"/>
  <c r="N7" i="34" s="1"/>
  <c r="H8" i="34"/>
  <c r="L8" i="34" s="1"/>
  <c r="N8" i="34" s="1"/>
  <c r="H9" i="34"/>
  <c r="L9" i="34" s="1"/>
  <c r="N9" i="34" s="1"/>
  <c r="H10" i="34"/>
  <c r="H11" i="34"/>
  <c r="L11" i="34" s="1"/>
  <c r="N11" i="34" s="1"/>
  <c r="H12" i="34"/>
  <c r="H13" i="34"/>
  <c r="L13" i="34" s="1"/>
  <c r="N13" i="34" s="1"/>
  <c r="H14" i="34"/>
  <c r="H15" i="34"/>
  <c r="L15" i="34" s="1"/>
  <c r="N15" i="34" s="1"/>
  <c r="H16" i="34"/>
  <c r="L16" i="34" s="1"/>
  <c r="N16" i="34" s="1"/>
  <c r="H17" i="34"/>
  <c r="L17" i="34" s="1"/>
  <c r="N17" i="34" s="1"/>
  <c r="H18" i="34"/>
  <c r="L18" i="34" s="1"/>
  <c r="N18" i="34" s="1"/>
  <c r="H19" i="34"/>
  <c r="L19" i="34" s="1"/>
  <c r="N19" i="34" s="1"/>
  <c r="H20" i="34"/>
  <c r="L20" i="34" s="1"/>
  <c r="N20" i="34" s="1"/>
  <c r="H21" i="34"/>
  <c r="L21" i="34" s="1"/>
  <c r="N21" i="34" s="1"/>
  <c r="H22" i="34"/>
  <c r="H23" i="34"/>
  <c r="L23" i="34" s="1"/>
  <c r="N23" i="34" s="1"/>
  <c r="H24" i="34"/>
  <c r="L24" i="34" s="1"/>
  <c r="N24" i="34" s="1"/>
  <c r="H25" i="34"/>
  <c r="L25" i="34" s="1"/>
  <c r="N25" i="34" s="1"/>
  <c r="H26" i="34"/>
  <c r="H27" i="34"/>
  <c r="L27" i="34" s="1"/>
  <c r="N27" i="34" s="1"/>
  <c r="H28" i="34"/>
  <c r="H29" i="34"/>
  <c r="L29" i="34" s="1"/>
  <c r="N29" i="34" s="1"/>
  <c r="H30" i="34"/>
  <c r="L30" i="34" s="1"/>
  <c r="N30" i="34" s="1"/>
  <c r="H31" i="34"/>
  <c r="L31" i="34" s="1"/>
  <c r="N31" i="34" s="1"/>
  <c r="H32" i="34"/>
  <c r="L32" i="34" s="1"/>
  <c r="N32" i="34" s="1"/>
  <c r="H33" i="34"/>
  <c r="L33" i="34" s="1"/>
  <c r="N33" i="34" s="1"/>
  <c r="H34" i="34"/>
  <c r="L34" i="34" s="1"/>
  <c r="N34" i="34" s="1"/>
  <c r="H4" i="34"/>
  <c r="L10" i="34"/>
  <c r="N10" i="34" s="1"/>
  <c r="L12" i="34"/>
  <c r="N12" i="34" s="1"/>
  <c r="L22" i="34"/>
  <c r="N22" i="34" s="1"/>
  <c r="L28" i="34"/>
  <c r="N28" i="34" s="1"/>
  <c r="L26" i="34" l="1"/>
  <c r="N26" i="34" s="1"/>
  <c r="L14" i="34"/>
  <c r="L4" i="34"/>
  <c r="N4" i="34" s="1"/>
  <c r="G35" i="32" l="1"/>
  <c r="K35" i="32" s="1"/>
  <c r="M35" i="32" s="1"/>
  <c r="G34" i="32"/>
  <c r="K34" i="32" s="1"/>
  <c r="M34" i="32" s="1"/>
  <c r="G33" i="32"/>
  <c r="K33" i="32" s="1"/>
  <c r="M33" i="32" s="1"/>
  <c r="G32" i="32"/>
  <c r="K32" i="32" s="1"/>
  <c r="M32" i="32" s="1"/>
  <c r="G31" i="32"/>
  <c r="K31" i="32" s="1"/>
  <c r="M31" i="32" s="1"/>
  <c r="H30" i="32"/>
  <c r="G30" i="32"/>
  <c r="G29" i="32"/>
  <c r="K29" i="32" s="1"/>
  <c r="M29" i="32" s="1"/>
  <c r="G28" i="32"/>
  <c r="K28" i="32" s="1"/>
  <c r="M28" i="32" s="1"/>
  <c r="G27" i="32"/>
  <c r="K27" i="32" s="1"/>
  <c r="M27" i="32" s="1"/>
  <c r="G26" i="32"/>
  <c r="K26" i="32" s="1"/>
  <c r="M26" i="32" s="1"/>
  <c r="G25" i="32"/>
  <c r="K25" i="32" s="1"/>
  <c r="M25" i="32" s="1"/>
  <c r="G24" i="32"/>
  <c r="K24" i="32" s="1"/>
  <c r="M24" i="32" s="1"/>
  <c r="G23" i="32"/>
  <c r="K23" i="32" s="1"/>
  <c r="M23" i="32" s="1"/>
  <c r="G22" i="32"/>
  <c r="K22" i="32" s="1"/>
  <c r="M22" i="32" s="1"/>
  <c r="G21" i="32"/>
  <c r="K21" i="32" s="1"/>
  <c r="M21" i="32" s="1"/>
  <c r="G20" i="32"/>
  <c r="K20" i="32" s="1"/>
  <c r="M20" i="32" s="1"/>
  <c r="G19" i="32"/>
  <c r="K19" i="32" s="1"/>
  <c r="M19" i="32" s="1"/>
  <c r="G18" i="32"/>
  <c r="K18" i="32" s="1"/>
  <c r="M18" i="32" s="1"/>
  <c r="G17" i="32"/>
  <c r="K17" i="32" s="1"/>
  <c r="M17" i="32" s="1"/>
  <c r="G16" i="32"/>
  <c r="K16" i="32" s="1"/>
  <c r="M16" i="32" s="1"/>
  <c r="G15" i="32"/>
  <c r="K15" i="32" s="1"/>
  <c r="G14" i="32"/>
  <c r="K14" i="32" s="1"/>
  <c r="M14" i="32" s="1"/>
  <c r="G13" i="32"/>
  <c r="K13" i="32" s="1"/>
  <c r="M13" i="32" s="1"/>
  <c r="G12" i="32"/>
  <c r="K12" i="32" s="1"/>
  <c r="M12" i="32" s="1"/>
  <c r="G11" i="32"/>
  <c r="K11" i="32" s="1"/>
  <c r="G10" i="32"/>
  <c r="K10" i="32" s="1"/>
  <c r="G9" i="32"/>
  <c r="K9" i="32" s="1"/>
  <c r="M9" i="32" s="1"/>
  <c r="G8" i="32"/>
  <c r="K8" i="32" s="1"/>
  <c r="M8" i="32" s="1"/>
  <c r="G7" i="32"/>
  <c r="K7" i="32" s="1"/>
  <c r="M7" i="32" s="1"/>
  <c r="G6" i="32"/>
  <c r="K6" i="32" s="1"/>
  <c r="M6" i="32" s="1"/>
  <c r="K5" i="32"/>
  <c r="M5" i="32" s="1"/>
  <c r="G5" i="32"/>
  <c r="G4" i="32"/>
  <c r="K4" i="32" s="1"/>
  <c r="M4" i="32" s="1"/>
  <c r="E51" i="28"/>
  <c r="D51" i="28"/>
  <c r="E50" i="28"/>
  <c r="D50" i="28"/>
  <c r="E49" i="28"/>
  <c r="D49" i="28"/>
  <c r="E48" i="28"/>
  <c r="D48" i="28"/>
  <c r="E47" i="28"/>
  <c r="D47" i="28"/>
  <c r="E46" i="28"/>
  <c r="D46" i="28"/>
  <c r="E45" i="28"/>
  <c r="D45" i="28"/>
  <c r="E44" i="28"/>
  <c r="D44" i="28"/>
  <c r="K38" i="28"/>
  <c r="H37" i="28"/>
  <c r="G37" i="28"/>
  <c r="G36" i="28"/>
  <c r="G35" i="28"/>
  <c r="G34" i="28"/>
  <c r="G33" i="28"/>
  <c r="G32" i="28"/>
  <c r="G31" i="28"/>
  <c r="G30" i="28"/>
  <c r="G29" i="28"/>
  <c r="G28" i="28"/>
  <c r="G27" i="28"/>
  <c r="G26" i="28"/>
  <c r="G25" i="28"/>
  <c r="G24" i="28"/>
  <c r="G23" i="28"/>
  <c r="G22" i="28"/>
  <c r="G21" i="28"/>
  <c r="G20" i="28"/>
  <c r="G19" i="28"/>
  <c r="G18" i="28"/>
  <c r="G17" i="28"/>
  <c r="H16" i="28"/>
  <c r="G16" i="28"/>
  <c r="G15" i="28"/>
  <c r="G14" i="28"/>
  <c r="G13" i="28"/>
  <c r="J12" i="28"/>
  <c r="G12" i="28"/>
  <c r="G11" i="28"/>
  <c r="G10" i="28"/>
  <c r="G9" i="28"/>
  <c r="G8" i="28"/>
  <c r="H7" i="28"/>
  <c r="G7" i="28"/>
  <c r="G6" i="28"/>
  <c r="J5" i="28"/>
  <c r="J4" i="28"/>
  <c r="N47" i="26"/>
  <c r="L47" i="26"/>
  <c r="H45" i="26"/>
  <c r="K45" i="26" s="1"/>
  <c r="M45" i="26" s="1"/>
  <c r="H44" i="26"/>
  <c r="K44" i="26" s="1"/>
  <c r="M44" i="26" s="1"/>
  <c r="H43" i="26"/>
  <c r="K43" i="26" s="1"/>
  <c r="M43" i="26" s="1"/>
  <c r="H42" i="26"/>
  <c r="H41" i="26"/>
  <c r="H40" i="26"/>
  <c r="I39" i="26"/>
  <c r="H39" i="26"/>
  <c r="H38" i="26"/>
  <c r="H37" i="26"/>
  <c r="H36" i="26"/>
  <c r="H35" i="26"/>
  <c r="H34" i="26"/>
  <c r="H33" i="26"/>
  <c r="H32" i="26"/>
  <c r="H31" i="26"/>
  <c r="H30" i="26"/>
  <c r="H29" i="26"/>
  <c r="H28" i="26"/>
  <c r="H27" i="26"/>
  <c r="H26" i="26"/>
  <c r="H25" i="26"/>
  <c r="H24" i="26"/>
  <c r="H23" i="26"/>
  <c r="H22" i="26"/>
  <c r="H21" i="26"/>
  <c r="K20" i="26"/>
  <c r="H20" i="26"/>
  <c r="H19" i="26"/>
  <c r="H18" i="26"/>
  <c r="H17" i="26"/>
  <c r="H16" i="26"/>
  <c r="H15" i="26"/>
  <c r="H14" i="26"/>
  <c r="H13" i="26"/>
  <c r="H12" i="26"/>
  <c r="H11" i="26"/>
  <c r="H10" i="26"/>
  <c r="H9" i="26"/>
  <c r="H8" i="26"/>
  <c r="H7" i="26"/>
  <c r="H6" i="26"/>
  <c r="H5" i="26"/>
  <c r="H4" i="26"/>
  <c r="L52" i="10"/>
  <c r="O51" i="10"/>
  <c r="K51" i="10"/>
  <c r="A51" i="10"/>
  <c r="K50" i="10"/>
  <c r="A50" i="10"/>
  <c r="K49" i="10"/>
  <c r="A49" i="10"/>
  <c r="K48" i="10"/>
  <c r="A48" i="10"/>
  <c r="K47" i="10"/>
  <c r="A47" i="10"/>
  <c r="K46" i="10"/>
  <c r="A46" i="10"/>
  <c r="K45" i="10"/>
  <c r="A45" i="10"/>
  <c r="K44" i="10"/>
  <c r="A44" i="10"/>
  <c r="K43" i="10"/>
  <c r="A43" i="10"/>
  <c r="K42" i="10"/>
  <c r="A42" i="10"/>
  <c r="K41" i="10"/>
  <c r="A41" i="10"/>
  <c r="K40" i="10"/>
  <c r="A40" i="10"/>
  <c r="K39" i="10"/>
  <c r="A39" i="10"/>
  <c r="K38" i="10"/>
  <c r="A38" i="10"/>
  <c r="K37" i="10"/>
  <c r="A37" i="10"/>
  <c r="K36" i="10"/>
  <c r="A36" i="10"/>
  <c r="K35" i="10"/>
  <c r="A35" i="10"/>
  <c r="K34" i="10"/>
  <c r="A34" i="10"/>
  <c r="K33" i="10"/>
  <c r="A33" i="10"/>
  <c r="K32" i="10"/>
  <c r="A32" i="10"/>
  <c r="K31" i="10"/>
  <c r="A31" i="10"/>
  <c r="K30" i="10"/>
  <c r="M30" i="10" s="1"/>
  <c r="A30" i="10"/>
  <c r="K29" i="10"/>
  <c r="A29" i="10"/>
  <c r="K28" i="10"/>
  <c r="A28" i="10"/>
  <c r="K27" i="10"/>
  <c r="A27" i="10"/>
  <c r="K26" i="10"/>
  <c r="A26" i="10"/>
  <c r="K25" i="10"/>
  <c r="A25" i="10"/>
  <c r="K24" i="10"/>
  <c r="A24" i="10"/>
  <c r="K23" i="10"/>
  <c r="A23" i="10"/>
  <c r="K22" i="10"/>
  <c r="A22" i="10"/>
  <c r="K21" i="10"/>
  <c r="A21" i="10"/>
  <c r="K20" i="10"/>
  <c r="A20" i="10"/>
  <c r="K19" i="10"/>
  <c r="A19" i="10"/>
  <c r="K18" i="10"/>
  <c r="A18" i="10"/>
  <c r="K17" i="10"/>
  <c r="A17" i="10"/>
  <c r="K16" i="10"/>
  <c r="A16" i="10"/>
  <c r="K15" i="10"/>
  <c r="A15" i="10"/>
  <c r="M14" i="10"/>
  <c r="K14" i="10"/>
  <c r="A14" i="10"/>
  <c r="K13" i="10"/>
  <c r="A13" i="10"/>
  <c r="K12" i="10"/>
  <c r="A12" i="10"/>
  <c r="K11" i="10"/>
  <c r="M11" i="10" s="1"/>
  <c r="A11" i="10"/>
  <c r="K10" i="10"/>
  <c r="A10" i="10"/>
  <c r="K9" i="10"/>
  <c r="A9" i="10"/>
  <c r="K8" i="10"/>
  <c r="A8" i="10"/>
  <c r="K7" i="10"/>
  <c r="A7" i="10"/>
  <c r="K6" i="10"/>
  <c r="A6" i="10"/>
  <c r="K5" i="10"/>
  <c r="A5" i="10"/>
  <c r="K4" i="10"/>
  <c r="A4" i="10"/>
  <c r="N34" i="9"/>
  <c r="M33" i="9"/>
  <c r="O33" i="9" s="1"/>
  <c r="L33" i="9"/>
  <c r="M32" i="9"/>
  <c r="L32" i="9"/>
  <c r="M31" i="9"/>
  <c r="L31" i="9"/>
  <c r="M30" i="9"/>
  <c r="L30" i="9"/>
  <c r="M29" i="9"/>
  <c r="L29" i="9"/>
  <c r="M28" i="9"/>
  <c r="L28" i="9"/>
  <c r="M27" i="9"/>
  <c r="L27" i="9"/>
  <c r="M26" i="9"/>
  <c r="L26" i="9"/>
  <c r="A26" i="9"/>
  <c r="M25" i="9"/>
  <c r="L25" i="9"/>
  <c r="A25" i="9"/>
  <c r="O24" i="9"/>
  <c r="M24" i="9"/>
  <c r="L24" i="9"/>
  <c r="A24" i="9"/>
  <c r="M23" i="9"/>
  <c r="L23" i="9"/>
  <c r="A23" i="9"/>
  <c r="M22" i="9"/>
  <c r="L22" i="9"/>
  <c r="A22" i="9"/>
  <c r="M21" i="9"/>
  <c r="L21" i="9"/>
  <c r="A21" i="9"/>
  <c r="M20" i="9"/>
  <c r="L20" i="9"/>
  <c r="A20" i="9"/>
  <c r="M19" i="9"/>
  <c r="L19" i="9"/>
  <c r="A19" i="9"/>
  <c r="M18" i="9"/>
  <c r="O18" i="9" s="1"/>
  <c r="L18" i="9"/>
  <c r="A18" i="9"/>
  <c r="M17" i="9"/>
  <c r="L17" i="9"/>
  <c r="A17" i="9"/>
  <c r="M16" i="9"/>
  <c r="L16" i="9"/>
  <c r="A16" i="9"/>
  <c r="M15" i="9"/>
  <c r="L15" i="9"/>
  <c r="A15" i="9"/>
  <c r="M14" i="9"/>
  <c r="L14" i="9"/>
  <c r="A14" i="9"/>
  <c r="M13" i="9"/>
  <c r="L13" i="9"/>
  <c r="A13" i="9"/>
  <c r="M12" i="9"/>
  <c r="L12" i="9"/>
  <c r="A12" i="9"/>
  <c r="M11" i="9"/>
  <c r="L11" i="9"/>
  <c r="A11" i="9"/>
  <c r="M10" i="9"/>
  <c r="L10" i="9"/>
  <c r="A10" i="9"/>
  <c r="M9" i="9"/>
  <c r="L9" i="9"/>
  <c r="A9" i="9"/>
  <c r="M8" i="9"/>
  <c r="L8" i="9"/>
  <c r="A8" i="9"/>
  <c r="M7" i="9"/>
  <c r="L7" i="9"/>
  <c r="A7" i="9"/>
  <c r="M6" i="9"/>
  <c r="L6" i="9"/>
  <c r="A6" i="9"/>
  <c r="M5" i="9"/>
  <c r="L5" i="9"/>
  <c r="A5" i="9"/>
  <c r="M4" i="9"/>
  <c r="L4" i="9"/>
  <c r="A4" i="9"/>
  <c r="N43" i="7"/>
  <c r="L43" i="7"/>
  <c r="A43" i="7"/>
  <c r="L42" i="7"/>
  <c r="A42" i="7"/>
  <c r="L41" i="7"/>
  <c r="A41" i="7"/>
  <c r="L40" i="7"/>
  <c r="A40" i="7"/>
  <c r="L39" i="7"/>
  <c r="A39" i="7"/>
  <c r="L38" i="7"/>
  <c r="A38" i="7"/>
  <c r="L37" i="7"/>
  <c r="A37" i="7"/>
  <c r="L36" i="7"/>
  <c r="A36" i="7"/>
  <c r="L35" i="7"/>
  <c r="N35" i="7" s="1"/>
  <c r="A35" i="7"/>
  <c r="L34" i="7"/>
  <c r="A34" i="7"/>
  <c r="L33" i="7"/>
  <c r="A33" i="7"/>
  <c r="L32" i="7"/>
  <c r="A32" i="7"/>
  <c r="L31" i="7"/>
  <c r="A31" i="7"/>
  <c r="L30" i="7"/>
  <c r="A30" i="7"/>
  <c r="L29" i="7"/>
  <c r="A29" i="7"/>
  <c r="L28" i="7"/>
  <c r="A28" i="7"/>
  <c r="L27" i="7"/>
  <c r="N27" i="7" s="1"/>
  <c r="A27" i="7"/>
  <c r="L26" i="7"/>
  <c r="A26" i="7"/>
  <c r="L25" i="7"/>
  <c r="A25" i="7"/>
  <c r="L24" i="7"/>
  <c r="A24" i="7"/>
  <c r="L23" i="7"/>
  <c r="A23" i="7"/>
  <c r="L22" i="7"/>
  <c r="A22" i="7"/>
  <c r="L21" i="7"/>
  <c r="A21" i="7"/>
  <c r="L20" i="7"/>
  <c r="A20" i="7"/>
  <c r="L19" i="7"/>
  <c r="A19" i="7"/>
  <c r="L18" i="7"/>
  <c r="A18" i="7"/>
  <c r="L17" i="7"/>
  <c r="A17" i="7"/>
  <c r="L16" i="7"/>
  <c r="A16" i="7"/>
  <c r="N15" i="7"/>
  <c r="L15" i="7"/>
  <c r="A15" i="7"/>
  <c r="L14" i="7"/>
  <c r="N14" i="7" s="1"/>
  <c r="A14" i="7"/>
  <c r="L13" i="7"/>
  <c r="A13" i="7"/>
  <c r="N12" i="7"/>
  <c r="L12" i="7"/>
  <c r="A12" i="7"/>
  <c r="L11" i="7"/>
  <c r="A11" i="7"/>
  <c r="L10" i="7"/>
  <c r="A10" i="7"/>
  <c r="L9" i="7"/>
  <c r="A9" i="7"/>
  <c r="L8" i="7"/>
  <c r="A8" i="7"/>
  <c r="L7" i="7"/>
  <c r="A7" i="7"/>
  <c r="L6" i="7"/>
  <c r="N6" i="7" s="1"/>
  <c r="A6" i="7"/>
  <c r="L5" i="7"/>
  <c r="A5" i="7"/>
  <c r="L4" i="7"/>
  <c r="A4" i="7"/>
  <c r="L39" i="6"/>
  <c r="L37" i="6"/>
  <c r="A37" i="6"/>
  <c r="L36" i="6"/>
  <c r="N36" i="6" s="1"/>
  <c r="A36" i="6"/>
  <c r="L35" i="6"/>
  <c r="A35" i="6"/>
  <c r="L34" i="6"/>
  <c r="A34" i="6"/>
  <c r="L33" i="6"/>
  <c r="A33" i="6"/>
  <c r="L32" i="6"/>
  <c r="A32" i="6"/>
  <c r="L31" i="6"/>
  <c r="A31" i="6"/>
  <c r="L30" i="6"/>
  <c r="A30" i="6"/>
  <c r="L29" i="6"/>
  <c r="A29" i="6"/>
  <c r="L28" i="6"/>
  <c r="A28" i="6"/>
  <c r="L27" i="6"/>
  <c r="A27" i="6"/>
  <c r="L26" i="6"/>
  <c r="A26" i="6"/>
  <c r="L25" i="6"/>
  <c r="A25" i="6"/>
  <c r="N24" i="6"/>
  <c r="L24" i="6"/>
  <c r="A24" i="6"/>
  <c r="L23" i="6"/>
  <c r="A23" i="6"/>
  <c r="L22" i="6"/>
  <c r="A22" i="6"/>
  <c r="L21" i="6"/>
  <c r="A21" i="6"/>
  <c r="L20" i="6"/>
  <c r="A20" i="6"/>
  <c r="L19" i="6"/>
  <c r="A19" i="6"/>
  <c r="L18" i="6"/>
  <c r="A18" i="6"/>
  <c r="L17" i="6"/>
  <c r="A17" i="6"/>
  <c r="L16" i="6"/>
  <c r="A16" i="6"/>
  <c r="L15" i="6"/>
  <c r="A15" i="6"/>
  <c r="L14" i="6"/>
  <c r="A14" i="6"/>
  <c r="L13" i="6"/>
  <c r="A13" i="6"/>
  <c r="L12" i="6"/>
  <c r="A12" i="6"/>
  <c r="L11" i="6"/>
  <c r="A11" i="6"/>
  <c r="L10" i="6"/>
  <c r="A10" i="6"/>
  <c r="L9" i="6"/>
  <c r="A9" i="6"/>
  <c r="L8" i="6"/>
  <c r="A8" i="6"/>
  <c r="L7" i="6"/>
  <c r="A7" i="6"/>
  <c r="L6" i="6"/>
  <c r="A6" i="6"/>
  <c r="L5" i="6"/>
  <c r="A5" i="6"/>
  <c r="L4" i="6"/>
  <c r="A4" i="6"/>
  <c r="L38" i="5"/>
  <c r="A38" i="5"/>
  <c r="L37" i="5"/>
  <c r="A37" i="5"/>
  <c r="L36" i="5"/>
  <c r="A36" i="5"/>
  <c r="L35" i="5"/>
  <c r="G35" i="5"/>
  <c r="A35" i="5"/>
  <c r="L34" i="5"/>
  <c r="A34" i="5"/>
  <c r="L33" i="5"/>
  <c r="A33" i="5"/>
  <c r="L32" i="5"/>
  <c r="A32" i="5"/>
  <c r="L31" i="5"/>
  <c r="A31" i="5"/>
  <c r="L30" i="5"/>
  <c r="A30" i="5"/>
  <c r="L29" i="5"/>
  <c r="A29" i="5"/>
  <c r="L28" i="5"/>
  <c r="A28" i="5"/>
  <c r="L27" i="5"/>
  <c r="A27" i="5"/>
  <c r="L26" i="5"/>
  <c r="A26" i="5"/>
  <c r="L25" i="5"/>
  <c r="A25" i="5"/>
  <c r="L24" i="5"/>
  <c r="A24" i="5"/>
  <c r="L23" i="5"/>
  <c r="A23" i="5"/>
  <c r="L22" i="5"/>
  <c r="A22" i="5"/>
  <c r="L21" i="5"/>
  <c r="A21" i="5"/>
  <c r="L20" i="5"/>
  <c r="A20" i="5"/>
  <c r="L19" i="5"/>
  <c r="A19" i="5"/>
  <c r="L18" i="5"/>
  <c r="A18" i="5"/>
  <c r="L17" i="5"/>
  <c r="A17" i="5"/>
  <c r="L16" i="5"/>
  <c r="A16" i="5"/>
  <c r="L15" i="5"/>
  <c r="A15" i="5"/>
  <c r="L14" i="5"/>
  <c r="A14" i="5"/>
  <c r="L13" i="5"/>
  <c r="A13" i="5"/>
  <c r="N12" i="5"/>
  <c r="L12" i="5"/>
  <c r="A12" i="5"/>
  <c r="L11" i="5"/>
  <c r="A11" i="5"/>
  <c r="L10" i="5"/>
  <c r="A10" i="5"/>
  <c r="L9" i="5"/>
  <c r="N9" i="5" s="1"/>
  <c r="A9" i="5"/>
  <c r="L8" i="5"/>
  <c r="A8" i="5"/>
  <c r="L7" i="5"/>
  <c r="A7" i="5"/>
  <c r="L6" i="5"/>
  <c r="N6" i="5" s="1"/>
  <c r="G6" i="5"/>
  <c r="A6" i="5"/>
  <c r="L5" i="5"/>
  <c r="A5" i="5"/>
  <c r="L4" i="5"/>
  <c r="A4" i="5"/>
  <c r="L46" i="2"/>
  <c r="A46" i="2"/>
  <c r="N45" i="2"/>
  <c r="L45" i="2"/>
  <c r="A45" i="2"/>
  <c r="L44" i="2"/>
  <c r="G44" i="2"/>
  <c r="A44" i="2"/>
  <c r="L43" i="2"/>
  <c r="A43" i="2"/>
  <c r="L42" i="2"/>
  <c r="A42" i="2"/>
  <c r="L41" i="2"/>
  <c r="A41" i="2"/>
  <c r="L40" i="2"/>
  <c r="A40" i="2"/>
  <c r="L39" i="2"/>
  <c r="A39" i="2"/>
  <c r="L38" i="2"/>
  <c r="A38" i="2"/>
  <c r="L37" i="2"/>
  <c r="A37" i="2"/>
  <c r="L36" i="2"/>
  <c r="A36" i="2"/>
  <c r="L35" i="2"/>
  <c r="A35" i="2"/>
  <c r="L34" i="2"/>
  <c r="A34" i="2"/>
  <c r="L33" i="2"/>
  <c r="A33" i="2"/>
  <c r="L32" i="2"/>
  <c r="A32" i="2"/>
  <c r="L31" i="2"/>
  <c r="A31" i="2"/>
  <c r="L30" i="2"/>
  <c r="A30" i="2"/>
  <c r="L29" i="2"/>
  <c r="A29" i="2"/>
  <c r="L28" i="2"/>
  <c r="A28" i="2"/>
  <c r="L27" i="2"/>
  <c r="A27" i="2"/>
  <c r="L26" i="2"/>
  <c r="A26" i="2"/>
  <c r="L25" i="2"/>
  <c r="A25" i="2"/>
  <c r="L24" i="2"/>
  <c r="A24" i="2"/>
  <c r="L23" i="2"/>
  <c r="A23" i="2"/>
  <c r="L22" i="2"/>
  <c r="A22" i="2"/>
  <c r="L21" i="2"/>
  <c r="A21" i="2"/>
  <c r="L20" i="2"/>
  <c r="A20" i="2"/>
  <c r="L19" i="2"/>
  <c r="A19" i="2"/>
  <c r="L18" i="2"/>
  <c r="A18" i="2"/>
  <c r="L17" i="2"/>
  <c r="A17" i="2"/>
  <c r="L16" i="2"/>
  <c r="A16" i="2"/>
  <c r="L15" i="2"/>
  <c r="A15" i="2"/>
  <c r="L14" i="2"/>
  <c r="A14" i="2"/>
  <c r="L13" i="2"/>
  <c r="A13" i="2"/>
  <c r="L12" i="2"/>
  <c r="A12" i="2"/>
  <c r="L11" i="2"/>
  <c r="N11" i="2" s="1"/>
  <c r="A11" i="2"/>
  <c r="L10" i="2"/>
  <c r="A10" i="2"/>
  <c r="L9" i="2"/>
  <c r="A9" i="2"/>
  <c r="L8" i="2"/>
  <c r="A8" i="2"/>
  <c r="L7" i="2"/>
  <c r="A7" i="2"/>
  <c r="L6" i="2"/>
  <c r="G6" i="2"/>
  <c r="A6" i="2"/>
  <c r="L5" i="2"/>
  <c r="A5" i="2"/>
  <c r="L4" i="2"/>
  <c r="A4" i="2"/>
  <c r="F31" i="1"/>
  <c r="M30" i="1"/>
  <c r="L29" i="1"/>
  <c r="A29" i="1"/>
  <c r="L28" i="1"/>
  <c r="A28" i="1"/>
  <c r="L27" i="1"/>
  <c r="N27" i="1" s="1"/>
  <c r="A27" i="1"/>
  <c r="L26" i="1"/>
  <c r="A26" i="1"/>
  <c r="L25" i="1"/>
  <c r="A25" i="1"/>
  <c r="L24" i="1"/>
  <c r="A24" i="1"/>
  <c r="L23" i="1"/>
  <c r="A23" i="1"/>
  <c r="N22" i="1"/>
  <c r="L22" i="1"/>
  <c r="A22" i="1"/>
  <c r="L21" i="1"/>
  <c r="N21" i="1" s="1"/>
  <c r="A21" i="1"/>
  <c r="N20" i="1"/>
  <c r="L20" i="1"/>
  <c r="A20" i="1"/>
  <c r="L19" i="1"/>
  <c r="A19" i="1"/>
  <c r="L18" i="1"/>
  <c r="A18" i="1"/>
  <c r="L17" i="1"/>
  <c r="A17" i="1"/>
  <c r="L16" i="1"/>
  <c r="N16" i="1" s="1"/>
  <c r="A16" i="1"/>
  <c r="L15" i="1"/>
  <c r="A15" i="1"/>
  <c r="L14" i="1"/>
  <c r="A14" i="1"/>
  <c r="L13" i="1"/>
  <c r="A13" i="1"/>
  <c r="L12" i="1"/>
  <c r="A12" i="1"/>
  <c r="L11" i="1"/>
  <c r="A11" i="1"/>
  <c r="L10" i="1"/>
  <c r="A10" i="1"/>
  <c r="L9" i="1"/>
  <c r="A9" i="1"/>
  <c r="L8" i="1"/>
  <c r="A8" i="1"/>
  <c r="L7" i="1"/>
  <c r="A7" i="1"/>
  <c r="L6" i="1"/>
  <c r="N6" i="1" s="1"/>
  <c r="G6" i="1"/>
  <c r="A6" i="1"/>
  <c r="L5" i="1"/>
  <c r="A5" i="1"/>
  <c r="L4" i="1"/>
  <c r="A4" i="1"/>
  <c r="K8" i="26" l="1"/>
  <c r="M48" i="10"/>
  <c r="N8" i="6"/>
  <c r="M51" i="10"/>
  <c r="N20" i="6"/>
  <c r="N4" i="7"/>
  <c r="N15" i="1"/>
  <c r="N30" i="5"/>
  <c r="N37" i="5"/>
  <c r="N18" i="7"/>
  <c r="N28" i="7"/>
  <c r="N18" i="5"/>
  <c r="N28" i="1"/>
  <c r="N26" i="7"/>
  <c r="N36" i="7"/>
  <c r="O21" i="9"/>
  <c r="M46" i="10"/>
  <c r="N19" i="7"/>
  <c r="O9" i="9"/>
  <c r="K30" i="32"/>
  <c r="M30" i="32" s="1"/>
  <c r="N14" i="1"/>
  <c r="N4" i="6"/>
  <c r="M26" i="10"/>
  <c r="M42" i="10"/>
  <c r="K12" i="26"/>
  <c r="M12" i="26" s="1"/>
  <c r="N10" i="1"/>
  <c r="N23" i="1"/>
  <c r="N33" i="5"/>
  <c r="N22" i="7"/>
  <c r="N31" i="7"/>
  <c r="M49" i="10"/>
  <c r="K16" i="26"/>
  <c r="M16" i="26" s="1"/>
  <c r="N19" i="1"/>
  <c r="N40" i="7"/>
  <c r="O15" i="9"/>
  <c r="M18" i="10"/>
  <c r="M34" i="10"/>
  <c r="K36" i="26"/>
  <c r="N11" i="1"/>
  <c r="N24" i="1"/>
  <c r="N24" i="5"/>
  <c r="N34" i="5"/>
  <c r="N10" i="7"/>
  <c r="N32" i="7"/>
  <c r="O12" i="9"/>
  <c r="K28" i="26"/>
  <c r="N12" i="1"/>
  <c r="N15" i="5"/>
  <c r="N11" i="7"/>
  <c r="N24" i="7"/>
  <c r="N42" i="7"/>
  <c r="N16" i="6"/>
  <c r="N32" i="6"/>
  <c r="N7" i="7"/>
  <c r="N20" i="7"/>
  <c r="N38" i="7"/>
  <c r="O6" i="9"/>
  <c r="N26" i="1"/>
  <c r="N44" i="2"/>
  <c r="N21" i="5"/>
  <c r="N39" i="6"/>
  <c r="N16" i="7"/>
  <c r="N34" i="7"/>
  <c r="K32" i="26"/>
  <c r="M32" i="26" s="1"/>
  <c r="L5" i="28"/>
  <c r="N18" i="1"/>
  <c r="N10" i="2"/>
  <c r="N27" i="5"/>
  <c r="N12" i="6"/>
  <c r="N28" i="6"/>
  <c r="N8" i="7"/>
  <c r="N39" i="7"/>
  <c r="O30" i="9"/>
  <c r="M22" i="10"/>
  <c r="M38" i="10"/>
  <c r="K24" i="26"/>
  <c r="D52" i="28"/>
  <c r="N30" i="7"/>
  <c r="N7" i="1"/>
  <c r="N21" i="6"/>
  <c r="J13" i="28"/>
  <c r="N4" i="1"/>
  <c r="N4" i="2"/>
  <c r="N15" i="2"/>
  <c r="N19" i="2"/>
  <c r="N23" i="2"/>
  <c r="N27" i="2"/>
  <c r="N31" i="2"/>
  <c r="N35" i="2"/>
  <c r="N39" i="2"/>
  <c r="N43" i="2"/>
  <c r="N46" i="2"/>
  <c r="G7" i="5"/>
  <c r="M7" i="10"/>
  <c r="K5" i="26"/>
  <c r="M5" i="26" s="1"/>
  <c r="K41" i="26"/>
  <c r="J9" i="28"/>
  <c r="L9" i="28" s="1"/>
  <c r="J17" i="28"/>
  <c r="J21" i="28"/>
  <c r="J25" i="28"/>
  <c r="J29" i="28"/>
  <c r="J33" i="28"/>
  <c r="N17" i="6"/>
  <c r="N25" i="6"/>
  <c r="O31" i="9"/>
  <c r="M15" i="10"/>
  <c r="M23" i="10"/>
  <c r="M31" i="10"/>
  <c r="M39" i="10"/>
  <c r="M43" i="10"/>
  <c r="K29" i="26"/>
  <c r="J37" i="28"/>
  <c r="N5" i="6"/>
  <c r="N37" i="6"/>
  <c r="N7" i="5"/>
  <c r="N19" i="5"/>
  <c r="N31" i="5"/>
  <c r="K6" i="26"/>
  <c r="K10" i="26"/>
  <c r="K14" i="26"/>
  <c r="K18" i="26"/>
  <c r="K22" i="26"/>
  <c r="K26" i="26"/>
  <c r="K30" i="26"/>
  <c r="K34" i="26"/>
  <c r="K38" i="26"/>
  <c r="J10" i="28"/>
  <c r="J14" i="28"/>
  <c r="N7" i="2"/>
  <c r="N13" i="6"/>
  <c r="N33" i="6"/>
  <c r="M19" i="10"/>
  <c r="M27" i="10"/>
  <c r="M35" i="10"/>
  <c r="K13" i="26"/>
  <c r="K21" i="26"/>
  <c r="L4" i="28"/>
  <c r="N10" i="5"/>
  <c r="N13" i="5"/>
  <c r="N16" i="5"/>
  <c r="N22" i="5"/>
  <c r="N25" i="5"/>
  <c r="N28" i="5"/>
  <c r="N6" i="6"/>
  <c r="N10" i="6"/>
  <c r="N14" i="6"/>
  <c r="N18" i="6"/>
  <c r="N22" i="6"/>
  <c r="N26" i="6"/>
  <c r="N30" i="6"/>
  <c r="N34" i="6"/>
  <c r="O28" i="9"/>
  <c r="M12" i="10"/>
  <c r="M16" i="10"/>
  <c r="M20" i="10"/>
  <c r="M24" i="10"/>
  <c r="M28" i="10"/>
  <c r="M32" i="10"/>
  <c r="M36" i="10"/>
  <c r="M40" i="10"/>
  <c r="M44" i="10"/>
  <c r="N5" i="1"/>
  <c r="N8" i="1"/>
  <c r="N5" i="2"/>
  <c r="N8" i="2"/>
  <c r="N12" i="2"/>
  <c r="N16" i="2"/>
  <c r="N20" i="2"/>
  <c r="N24" i="2"/>
  <c r="N28" i="2"/>
  <c r="N32" i="2"/>
  <c r="N36" i="2"/>
  <c r="N40" i="2"/>
  <c r="N4" i="5"/>
  <c r="M4" i="10"/>
  <c r="M8" i="10"/>
  <c r="K42" i="26"/>
  <c r="J6" i="28"/>
  <c r="J18" i="28"/>
  <c r="J22" i="28"/>
  <c r="J26" i="28"/>
  <c r="J30" i="28"/>
  <c r="J34" i="28"/>
  <c r="N35" i="5"/>
  <c r="O16" i="9"/>
  <c r="M13" i="10"/>
  <c r="M33" i="10"/>
  <c r="M41" i="10"/>
  <c r="K7" i="26"/>
  <c r="K11" i="26"/>
  <c r="K15" i="26"/>
  <c r="K19" i="26"/>
  <c r="K23" i="26"/>
  <c r="K27" i="26"/>
  <c r="K31" i="26"/>
  <c r="K35" i="26"/>
  <c r="J11" i="28"/>
  <c r="J15" i="28"/>
  <c r="N38" i="5"/>
  <c r="N11" i="6"/>
  <c r="N15" i="6"/>
  <c r="N23" i="6"/>
  <c r="N31" i="6"/>
  <c r="O10" i="9"/>
  <c r="O29" i="9"/>
  <c r="M21" i="10"/>
  <c r="M25" i="10"/>
  <c r="M29" i="10"/>
  <c r="M37" i="10"/>
  <c r="M45" i="10"/>
  <c r="N13" i="2"/>
  <c r="N17" i="2"/>
  <c r="N21" i="2"/>
  <c r="N25" i="2"/>
  <c r="N29" i="2"/>
  <c r="N33" i="2"/>
  <c r="N37" i="2"/>
  <c r="N41" i="2"/>
  <c r="G45" i="2"/>
  <c r="N5" i="5"/>
  <c r="N8" i="5"/>
  <c r="N11" i="5"/>
  <c r="N14" i="5"/>
  <c r="N17" i="5"/>
  <c r="N20" i="5"/>
  <c r="N23" i="5"/>
  <c r="N26" i="5"/>
  <c r="N29" i="5"/>
  <c r="N32" i="5"/>
  <c r="M5" i="10"/>
  <c r="M9" i="10"/>
  <c r="K39" i="26"/>
  <c r="J7" i="28"/>
  <c r="J19" i="28"/>
  <c r="J23" i="28"/>
  <c r="J27" i="28"/>
  <c r="J31" i="28"/>
  <c r="J35" i="28"/>
  <c r="N7" i="6"/>
  <c r="N19" i="6"/>
  <c r="N27" i="6"/>
  <c r="N35" i="6"/>
  <c r="O4" i="9"/>
  <c r="O7" i="9"/>
  <c r="O13" i="9"/>
  <c r="O19" i="9"/>
  <c r="O22" i="9"/>
  <c r="O25" i="9"/>
  <c r="M17" i="10"/>
  <c r="N9" i="1"/>
  <c r="N13" i="1"/>
  <c r="N17" i="1"/>
  <c r="N25" i="1"/>
  <c r="N29" i="1"/>
  <c r="N6" i="2"/>
  <c r="N9" i="2"/>
  <c r="G36" i="5"/>
  <c r="N5" i="7"/>
  <c r="N9" i="7"/>
  <c r="N13" i="7"/>
  <c r="N17" i="7"/>
  <c r="N21" i="7"/>
  <c r="N25" i="7"/>
  <c r="N29" i="7"/>
  <c r="N33" i="7"/>
  <c r="N37" i="7"/>
  <c r="N41" i="7"/>
  <c r="M36" i="9"/>
  <c r="M50" i="10"/>
  <c r="G7" i="1"/>
  <c r="G7" i="2"/>
  <c r="N14" i="2"/>
  <c r="N18" i="2"/>
  <c r="N22" i="2"/>
  <c r="N26" i="2"/>
  <c r="N30" i="2"/>
  <c r="N34" i="2"/>
  <c r="N38" i="2"/>
  <c r="N42" i="2"/>
  <c r="N36" i="5"/>
  <c r="O5" i="9"/>
  <c r="O8" i="9"/>
  <c r="O11" i="9"/>
  <c r="O14" i="9"/>
  <c r="O17" i="9"/>
  <c r="O20" i="9"/>
  <c r="O23" i="9"/>
  <c r="O26" i="9"/>
  <c r="M6" i="10"/>
  <c r="M10" i="10"/>
  <c r="K4" i="26"/>
  <c r="M8" i="26"/>
  <c r="M20" i="26"/>
  <c r="M24" i="26"/>
  <c r="M28" i="26"/>
  <c r="M36" i="26"/>
  <c r="K40" i="26"/>
  <c r="J8" i="28"/>
  <c r="L12" i="28"/>
  <c r="J16" i="28"/>
  <c r="J20" i="28"/>
  <c r="J24" i="28"/>
  <c r="J28" i="28"/>
  <c r="J32" i="28"/>
  <c r="J36" i="28"/>
  <c r="N9" i="6"/>
  <c r="N29" i="6"/>
  <c r="K9" i="26"/>
  <c r="K17" i="26"/>
  <c r="K25" i="26"/>
  <c r="K33" i="26"/>
  <c r="K37" i="26"/>
  <c r="M47" i="10"/>
  <c r="E52" i="28"/>
  <c r="L6" i="28" l="1"/>
  <c r="L41" i="28"/>
  <c r="M25" i="26"/>
  <c r="L7" i="28"/>
  <c r="M17" i="26"/>
  <c r="M40" i="26"/>
  <c r="L41" i="9"/>
  <c r="K41" i="9"/>
  <c r="J41" i="9"/>
  <c r="J36" i="9"/>
  <c r="M39" i="26"/>
  <c r="M10" i="26"/>
  <c r="M41" i="26"/>
  <c r="L15" i="28"/>
  <c r="M6" i="26"/>
  <c r="L8" i="28"/>
  <c r="M9" i="26"/>
  <c r="G46" i="2"/>
  <c r="L11" i="28"/>
  <c r="M35" i="26"/>
  <c r="L14" i="28"/>
  <c r="G8" i="5"/>
  <c r="M31" i="26"/>
  <c r="L10" i="28"/>
  <c r="M27" i="26"/>
  <c r="M38" i="26"/>
  <c r="L28" i="28"/>
  <c r="G8" i="1"/>
  <c r="L35" i="28"/>
  <c r="M23" i="26"/>
  <c r="L30" i="28"/>
  <c r="M34" i="26"/>
  <c r="L33" i="28"/>
  <c r="L13" i="28"/>
  <c r="L24" i="28"/>
  <c r="L31" i="28"/>
  <c r="M19" i="26"/>
  <c r="L26" i="28"/>
  <c r="M21" i="26"/>
  <c r="M30" i="26"/>
  <c r="L29" i="28"/>
  <c r="L27" i="28"/>
  <c r="M15" i="26"/>
  <c r="L22" i="28"/>
  <c r="M13" i="26"/>
  <c r="M26" i="26"/>
  <c r="L37" i="28"/>
  <c r="L25" i="28"/>
  <c r="L20" i="28"/>
  <c r="M37" i="26"/>
  <c r="L16" i="28"/>
  <c r="M4" i="26"/>
  <c r="G37" i="5"/>
  <c r="L23" i="28"/>
  <c r="M11" i="26"/>
  <c r="L18" i="28"/>
  <c r="M22" i="26"/>
  <c r="M29" i="26"/>
  <c r="L21" i="28"/>
  <c r="G8" i="2"/>
  <c r="L34" i="28"/>
  <c r="M33" i="26"/>
  <c r="L19" i="28"/>
  <c r="M7" i="26"/>
  <c r="M18" i="26"/>
  <c r="L17" i="28"/>
  <c r="M42" i="26"/>
  <c r="M14" i="26"/>
  <c r="M41" i="9" l="1"/>
  <c r="N42" i="9" s="1"/>
  <c r="G9" i="2"/>
  <c r="G9" i="1"/>
  <c r="G38" i="5"/>
  <c r="G9" i="5"/>
  <c r="G10" i="5" l="1"/>
  <c r="G11" i="5" l="1"/>
  <c r="G12" i="5" l="1"/>
  <c r="G13" i="5" l="1"/>
  <c r="G14" i="5" l="1"/>
  <c r="G15" i="5" l="1"/>
  <c r="G16" i="5" l="1"/>
  <c r="G17" i="5" l="1"/>
  <c r="G18" i="5" l="1"/>
  <c r="G19" i="5" l="1"/>
  <c r="G20" i="5" l="1"/>
  <c r="G21" i="5" l="1"/>
  <c r="G22" i="5" l="1"/>
  <c r="G23" i="5" l="1"/>
  <c r="G24" i="5" l="1"/>
  <c r="G27" i="5" l="1"/>
  <c r="G25" i="5"/>
  <c r="G28" i="5" l="1"/>
  <c r="G26" i="5"/>
  <c r="G29" i="5" l="1"/>
  <c r="G30" i="5" l="1"/>
  <c r="G31" i="5" l="1"/>
  <c r="G32" i="5" l="1"/>
  <c r="G3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author>
    <author>Nunong</author>
  </authors>
  <commentList>
    <comment ref="J7" authorId="0" shapeId="0" xr:uid="{00000000-0006-0000-0800-000001000000}">
      <text>
        <r>
          <rPr>
            <b/>
            <sz val="9"/>
            <color indexed="81"/>
            <rFont val="Tahoma"/>
            <family val="2"/>
          </rPr>
          <t>DO:</t>
        </r>
        <r>
          <rPr>
            <sz val="9"/>
            <color indexed="81"/>
            <rFont val="Tahoma"/>
            <family val="2"/>
          </rPr>
          <t xml:space="preserve">
ส่งการเงิน 3-7-63 
วท292/2563 (2-7-2563)</t>
        </r>
      </text>
    </comment>
    <comment ref="B13" authorId="1" shapeId="0" xr:uid="{00000000-0006-0000-0800-000002000000}">
      <text>
        <r>
          <rPr>
            <b/>
            <sz val="9"/>
            <color indexed="81"/>
            <rFont val="Tahoma"/>
            <family val="2"/>
          </rPr>
          <t>Nunong:</t>
        </r>
        <r>
          <rPr>
            <sz val="9"/>
            <color indexed="81"/>
            <rFont val="Tahoma"/>
            <family val="2"/>
          </rPr>
          <t xml:space="preserve">
แปลี่ยนชื่อ โครงการเป็น
 การประเมินความเสี่ยงอันตรายทางความร้อนและความว่องไวต่อปฏิกิริยาเคมีของไฮโดรเจนเปอร์ออกไซด์โดยดิฟเฟอเรนเซียลสแกนนิงแคลอริมิเตอร์</t>
        </r>
      </text>
    </comment>
    <comment ref="J26" authorId="1" shapeId="0" xr:uid="{00000000-0006-0000-0800-000003000000}">
      <text>
        <r>
          <rPr>
            <b/>
            <sz val="9"/>
            <color indexed="81"/>
            <rFont val="Tahoma"/>
            <family val="2"/>
          </rPr>
          <t>Nunong:</t>
        </r>
        <r>
          <rPr>
            <sz val="9"/>
            <color indexed="81"/>
            <rFont val="Tahoma"/>
            <family val="2"/>
          </rPr>
          <t xml:space="preserve">
700/2562
16-9-62
</t>
        </r>
      </text>
    </comment>
    <comment ref="I48" authorId="0" shapeId="0" xr:uid="{00000000-0006-0000-0800-000004000000}">
      <text>
        <r>
          <rPr>
            <b/>
            <sz val="9"/>
            <color indexed="81"/>
            <rFont val="Tahoma"/>
            <family val="2"/>
          </rPr>
          <t>DO:</t>
        </r>
        <r>
          <rPr>
            <sz val="9"/>
            <color indexed="81"/>
            <rFont val="Tahoma"/>
            <family val="2"/>
          </rPr>
          <t xml:space="preserve">
วท045/2563 21-1-2563
</t>
        </r>
      </text>
    </comment>
    <comment ref="B49" authorId="1" shapeId="0" xr:uid="{00000000-0006-0000-0800-000005000000}">
      <text>
        <r>
          <rPr>
            <b/>
            <sz val="9"/>
            <color indexed="81"/>
            <rFont val="Tahoma"/>
            <family val="2"/>
          </rPr>
          <t>Nunong:</t>
        </r>
        <r>
          <rPr>
            <sz val="9"/>
            <color indexed="81"/>
            <rFont val="Tahoma"/>
            <family val="2"/>
          </rPr>
          <t xml:space="preserve">
เรื่องเดิม พารามิเตอร์ถ่วงน้ำหนักใหม่ของการแจกแจงแบบผสมสำหรับการแจกแจงอินเวอร์สเกาส์เชียน
เปลี่ยนชื่อตามบันทึกข้อความ สถ 471/2561 วันที่ 25-9-2561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Nunong</author>
    <author>DO</author>
  </authors>
  <commentList>
    <comment ref="I6" authorId="0" shapeId="0" xr:uid="{00000000-0006-0000-0900-000001000000}">
      <text>
        <r>
          <rPr>
            <b/>
            <sz val="9"/>
            <color indexed="81"/>
            <rFont val="Tahoma"/>
            <family val="2"/>
          </rPr>
          <t>Nunong:</t>
        </r>
        <r>
          <rPr>
            <sz val="9"/>
            <color indexed="81"/>
            <rFont val="Tahoma"/>
            <family val="2"/>
          </rPr>
          <t xml:space="preserve">
17-4-62/318/2562
</t>
        </r>
      </text>
    </comment>
    <comment ref="J6" authorId="0" shapeId="0" xr:uid="{00000000-0006-0000-0900-000002000000}">
      <text>
        <r>
          <rPr>
            <b/>
            <sz val="9"/>
            <color indexed="81"/>
            <rFont val="Tahoma"/>
            <family val="2"/>
          </rPr>
          <t>Nunong:</t>
        </r>
        <r>
          <rPr>
            <sz val="9"/>
            <color indexed="81"/>
            <rFont val="Tahoma"/>
            <family val="2"/>
          </rPr>
          <t xml:space="preserve">
585/2562/31-7-2562
</t>
        </r>
      </text>
    </comment>
    <comment ref="I8" authorId="1" shapeId="0" xr:uid="{00000000-0006-0000-0900-000003000000}">
      <text>
        <r>
          <rPr>
            <b/>
            <sz val="9"/>
            <color indexed="81"/>
            <rFont val="Tahoma"/>
            <family val="2"/>
          </rPr>
          <t>DO:</t>
        </r>
        <r>
          <rPr>
            <sz val="9"/>
            <color indexed="81"/>
            <rFont val="Tahoma"/>
            <family val="2"/>
          </rPr>
          <t xml:space="preserve">
278/2563
ส่งพี่เพ็ญ
2-7-63
</t>
        </r>
      </text>
    </comment>
    <comment ref="I12" authorId="0" shapeId="0" xr:uid="{00000000-0006-0000-0900-000004000000}">
      <text>
        <r>
          <rPr>
            <b/>
            <sz val="9"/>
            <color indexed="81"/>
            <rFont val="Tahoma"/>
            <family val="2"/>
          </rPr>
          <t>Nunong:</t>
        </r>
        <r>
          <rPr>
            <sz val="9"/>
            <color indexed="81"/>
            <rFont val="Tahoma"/>
            <family val="2"/>
          </rPr>
          <t xml:space="preserve">
704/2562 (16-9-2562)</t>
        </r>
      </text>
    </comment>
    <comment ref="I17" authorId="0" shapeId="0" xr:uid="{00000000-0006-0000-0900-000005000000}">
      <text>
        <r>
          <rPr>
            <b/>
            <sz val="9"/>
            <color indexed="81"/>
            <rFont val="Tahoma"/>
            <family val="2"/>
          </rPr>
          <t>Nunong:</t>
        </r>
        <r>
          <rPr>
            <sz val="9"/>
            <color indexed="81"/>
            <rFont val="Tahoma"/>
            <family val="2"/>
          </rPr>
          <t xml:space="preserve">
547/2562/11-7-2562
</t>
        </r>
      </text>
    </comment>
    <comment ref="I18" authorId="0" shapeId="0" xr:uid="{00000000-0006-0000-0900-000006000000}">
      <text>
        <r>
          <rPr>
            <b/>
            <sz val="9"/>
            <color indexed="81"/>
            <rFont val="Tahoma"/>
            <family val="2"/>
          </rPr>
          <t>Nunong:</t>
        </r>
        <r>
          <rPr>
            <sz val="9"/>
            <color indexed="81"/>
            <rFont val="Tahoma"/>
            <family val="2"/>
          </rPr>
          <t xml:space="preserve">
546/2562/11-7-2562
</t>
        </r>
      </text>
    </comment>
    <comment ref="I23" authorId="0" shapeId="0" xr:uid="{00000000-0006-0000-0900-000007000000}">
      <text>
        <r>
          <rPr>
            <b/>
            <sz val="9"/>
            <color indexed="81"/>
            <rFont val="Tahoma"/>
            <family val="2"/>
          </rPr>
          <t>Nunong:</t>
        </r>
        <r>
          <rPr>
            <sz val="9"/>
            <color indexed="81"/>
            <rFont val="Tahoma"/>
            <family val="2"/>
          </rPr>
          <t xml:space="preserve">
703/2562 (16-9-2562)
</t>
        </r>
      </text>
    </comment>
    <comment ref="I29" authorId="0" shapeId="0" xr:uid="{00000000-0006-0000-0900-000008000000}">
      <text>
        <r>
          <rPr>
            <b/>
            <sz val="9"/>
            <color indexed="81"/>
            <rFont val="Tahoma"/>
            <family val="2"/>
          </rPr>
          <t>Nunong:</t>
        </r>
        <r>
          <rPr>
            <sz val="9"/>
            <color indexed="81"/>
            <rFont val="Tahoma"/>
            <family val="2"/>
          </rPr>
          <t xml:space="preserve">
591/2561(5-8-62)
ส่งพี่เพ๊ญ 8-8-62
</t>
        </r>
      </text>
    </comment>
    <comment ref="I34" authorId="0" shapeId="0" xr:uid="{00000000-0006-0000-0900-000009000000}">
      <text>
        <r>
          <rPr>
            <b/>
            <sz val="9"/>
            <color indexed="81"/>
            <rFont val="Tahoma"/>
            <family val="2"/>
          </rPr>
          <t>Nunong:</t>
        </r>
        <r>
          <rPr>
            <sz val="9"/>
            <color indexed="81"/>
            <rFont val="Tahoma"/>
            <family val="2"/>
          </rPr>
          <t xml:space="preserve">
590/2562(5-8-62)
ส่งให้พี่เพ็ญ 8-8-62
</t>
        </r>
      </text>
    </comment>
    <comment ref="J35" authorId="0" shapeId="0" xr:uid="{00000000-0006-0000-0900-00000A000000}">
      <text>
        <r>
          <rPr>
            <b/>
            <sz val="9"/>
            <color indexed="81"/>
            <rFont val="Tahoma"/>
            <family val="2"/>
          </rPr>
          <t>Nunong:</t>
        </r>
        <r>
          <rPr>
            <sz val="9"/>
            <color indexed="81"/>
            <rFont val="Tahoma"/>
            <family val="2"/>
          </rPr>
          <t xml:space="preserve">
733/2562 (30-9-2562)
</t>
        </r>
      </text>
    </comment>
    <comment ref="I37" authorId="1" shapeId="0" xr:uid="{00000000-0006-0000-0900-00000B000000}">
      <text>
        <r>
          <rPr>
            <b/>
            <sz val="9"/>
            <color indexed="81"/>
            <rFont val="Tahoma"/>
            <family val="2"/>
          </rPr>
          <t>DO:</t>
        </r>
        <r>
          <rPr>
            <sz val="9"/>
            <color indexed="81"/>
            <rFont val="Tahoma"/>
            <family val="2"/>
          </rPr>
          <t xml:space="preserve">
279/2563
ส่งพี่เพ็ญ 2-7-63</t>
        </r>
      </text>
    </comment>
    <comment ref="I39" authorId="0" shapeId="0" xr:uid="{00000000-0006-0000-0900-00000C000000}">
      <text>
        <r>
          <rPr>
            <b/>
            <sz val="9"/>
            <color indexed="81"/>
            <rFont val="Tahoma"/>
            <family val="2"/>
          </rPr>
          <t>Nunong:</t>
        </r>
        <r>
          <rPr>
            <sz val="9"/>
            <color indexed="81"/>
            <rFont val="Tahoma"/>
            <family val="2"/>
          </rPr>
          <t xml:space="preserve">
317/2562/17-4-2562
</t>
        </r>
      </text>
    </comment>
    <comment ref="J39" authorId="0" shapeId="0" xr:uid="{00000000-0006-0000-0900-00000D000000}">
      <text>
        <r>
          <rPr>
            <b/>
            <sz val="9"/>
            <color indexed="81"/>
            <rFont val="Tahoma"/>
            <family val="2"/>
          </rPr>
          <t>Nunong:</t>
        </r>
        <r>
          <rPr>
            <sz val="9"/>
            <color indexed="81"/>
            <rFont val="Tahoma"/>
            <family val="2"/>
          </rPr>
          <t xml:space="preserve">
701/2562
16-9-62
</t>
        </r>
      </text>
    </comment>
    <comment ref="I40" authorId="0" shapeId="0" xr:uid="{00000000-0006-0000-0900-00000E000000}">
      <text>
        <r>
          <rPr>
            <b/>
            <sz val="9"/>
            <color indexed="81"/>
            <rFont val="Tahoma"/>
            <family val="2"/>
          </rPr>
          <t>Nunong:</t>
        </r>
        <r>
          <rPr>
            <sz val="9"/>
            <color indexed="81"/>
            <rFont val="Tahoma"/>
            <family val="2"/>
          </rPr>
          <t xml:space="preserve">
602/2562</t>
        </r>
      </text>
    </comment>
    <comment ref="I41" authorId="1" shapeId="0" xr:uid="{00000000-0006-0000-0900-00000F000000}">
      <text>
        <r>
          <rPr>
            <b/>
            <sz val="9"/>
            <color indexed="81"/>
            <rFont val="Tahoma"/>
            <family val="2"/>
          </rPr>
          <t>DO:</t>
        </r>
        <r>
          <rPr>
            <sz val="9"/>
            <color indexed="81"/>
            <rFont val="Tahoma"/>
            <family val="2"/>
          </rPr>
          <t xml:space="preserve">
044/2563 21-1-2563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DO</author>
  </authors>
  <commentList>
    <comment ref="H5" authorId="0" shapeId="0" xr:uid="{00000000-0006-0000-0A00-000001000000}">
      <text>
        <r>
          <rPr>
            <b/>
            <sz val="9"/>
            <color indexed="81"/>
            <rFont val="Tahoma"/>
            <family val="2"/>
          </rPr>
          <t>DO:</t>
        </r>
        <r>
          <rPr>
            <sz val="9"/>
            <color indexed="81"/>
            <rFont val="Tahoma"/>
            <family val="2"/>
          </rPr>
          <t xml:space="preserve">
ส่งพี่เพ็ญวันที่ 22-6-2563
</t>
        </r>
      </text>
    </comment>
    <comment ref="H7" authorId="0" shapeId="0" xr:uid="{00000000-0006-0000-0A00-000002000000}">
      <text>
        <r>
          <rPr>
            <b/>
            <sz val="9"/>
            <color indexed="81"/>
            <rFont val="Tahoma"/>
            <family val="2"/>
          </rPr>
          <t>DO:</t>
        </r>
        <r>
          <rPr>
            <sz val="9"/>
            <color indexed="81"/>
            <rFont val="Tahoma"/>
            <family val="2"/>
          </rPr>
          <t xml:space="preserve">
272/2563
ส่งพี่เพ็ญ 2-7-63</t>
        </r>
      </text>
    </comment>
    <comment ref="H8" authorId="0" shapeId="0" xr:uid="{00000000-0006-0000-0A00-000003000000}">
      <text>
        <r>
          <rPr>
            <b/>
            <sz val="9"/>
            <color indexed="81"/>
            <rFont val="Tahoma"/>
            <family val="2"/>
          </rPr>
          <t>DO:</t>
        </r>
        <r>
          <rPr>
            <sz val="9"/>
            <color indexed="81"/>
            <rFont val="Tahoma"/>
            <family val="2"/>
          </rPr>
          <t xml:space="preserve">
277/2563
ส่งพี่เพ็ญ 2-7-63
</t>
        </r>
      </text>
    </comment>
    <comment ref="H16" authorId="0" shapeId="0" xr:uid="{00000000-0006-0000-0A00-000004000000}">
      <text>
        <r>
          <rPr>
            <b/>
            <sz val="9"/>
            <color indexed="81"/>
            <rFont val="Tahoma"/>
            <family val="2"/>
          </rPr>
          <t>DO:</t>
        </r>
        <r>
          <rPr>
            <sz val="9"/>
            <color indexed="81"/>
            <rFont val="Tahoma"/>
            <family val="2"/>
          </rPr>
          <t xml:space="preserve">
273/2563
ส่งพี่เพ็ญ 2-7-63
</t>
        </r>
      </text>
    </comment>
    <comment ref="H19" authorId="0" shapeId="0" xr:uid="{00000000-0006-0000-0A00-000005000000}">
      <text>
        <r>
          <rPr>
            <b/>
            <sz val="9"/>
            <color indexed="81"/>
            <rFont val="Tahoma"/>
            <family val="2"/>
          </rPr>
          <t>DO:</t>
        </r>
        <r>
          <rPr>
            <sz val="9"/>
            <color indexed="81"/>
            <rFont val="Tahoma"/>
            <family val="2"/>
          </rPr>
          <t xml:space="preserve">
275/2563
ส่งพี่เพ็ญ 2-7-63</t>
        </r>
      </text>
    </comment>
    <comment ref="H20" authorId="0" shapeId="0" xr:uid="{00000000-0006-0000-0A00-000006000000}">
      <text>
        <r>
          <rPr>
            <b/>
            <sz val="9"/>
            <color indexed="81"/>
            <rFont val="Tahoma"/>
            <family val="2"/>
          </rPr>
          <t>DO:</t>
        </r>
        <r>
          <rPr>
            <sz val="9"/>
            <color indexed="81"/>
            <rFont val="Tahoma"/>
            <family val="2"/>
          </rPr>
          <t xml:space="preserve">
ส่งเอกสาพี่เพ็ญ 25/6/2563
</t>
        </r>
      </text>
    </comment>
    <comment ref="C26" authorId="0" shapeId="0" xr:uid="{00000000-0006-0000-0A00-000007000000}">
      <text/>
    </comment>
    <comment ref="H26" authorId="0" shapeId="0" xr:uid="{00000000-0006-0000-0A00-000008000000}">
      <text>
        <r>
          <rPr>
            <b/>
            <sz val="9"/>
            <color indexed="81"/>
            <rFont val="Tahoma"/>
            <family val="2"/>
          </rPr>
          <t>DO:</t>
        </r>
        <r>
          <rPr>
            <sz val="9"/>
            <color indexed="81"/>
            <rFont val="Tahoma"/>
            <family val="2"/>
          </rPr>
          <t xml:space="preserve">
280/2563
ส่งพี่เพ็ญ 
2-7-63</t>
        </r>
      </text>
    </comment>
    <comment ref="H34" authorId="0" shapeId="0" xr:uid="{00000000-0006-0000-0A00-000009000000}">
      <text>
        <r>
          <rPr>
            <b/>
            <sz val="9"/>
            <color indexed="81"/>
            <rFont val="Tahoma"/>
            <family val="2"/>
          </rPr>
          <t>DO:</t>
        </r>
        <r>
          <rPr>
            <sz val="9"/>
            <color indexed="81"/>
            <rFont val="Tahoma"/>
            <family val="2"/>
          </rPr>
          <t xml:space="preserve">
276/2563
ส่งพี่เพ็ญ 2-7-63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DO</author>
  </authors>
  <commentList>
    <comment ref="H3" authorId="0" shapeId="0" xr:uid="{00000000-0006-0000-0B00-000001000000}">
      <text>
        <r>
          <rPr>
            <b/>
            <sz val="9"/>
            <color indexed="81"/>
            <rFont val="Tahoma"/>
            <family val="2"/>
          </rPr>
          <t>DO:</t>
        </r>
        <r>
          <rPr>
            <sz val="9"/>
            <color indexed="81"/>
            <rFont val="Tahoma"/>
            <family val="2"/>
          </rPr>
          <t xml:space="preserve">
รายงานความก้าวหน้า
</t>
        </r>
      </text>
    </comment>
    <comment ref="H21" authorId="0" shapeId="0" xr:uid="{8F1A3808-AA89-44DC-8B74-5AEB5AF2CB45}">
      <text>
        <r>
          <rPr>
            <b/>
            <sz val="9"/>
            <color indexed="81"/>
            <rFont val="Tahoma"/>
            <family val="2"/>
          </rPr>
          <t>DO:</t>
        </r>
        <r>
          <rPr>
            <sz val="9"/>
            <color indexed="81"/>
            <rFont val="Tahoma"/>
            <family val="2"/>
          </rPr>
          <t xml:space="preserve">
วท330/2564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DO</author>
  </authors>
  <commentList>
    <comment ref="I3" authorId="0" shapeId="0" xr:uid="{659A83AF-57C4-4188-BAD1-859FDAE7E97A}">
      <text>
        <r>
          <rPr>
            <b/>
            <sz val="9"/>
            <color indexed="81"/>
            <rFont val="Tahoma"/>
            <family val="2"/>
          </rPr>
          <t>DO:</t>
        </r>
        <r>
          <rPr>
            <sz val="9"/>
            <color indexed="81"/>
            <rFont val="Tahoma"/>
            <family val="2"/>
          </rPr>
          <t xml:space="preserve">
รายงานความก้าวหน้า
</t>
        </r>
      </text>
    </comment>
    <comment ref="I10" authorId="0" shapeId="0" xr:uid="{9B9B2F8E-9481-4131-BEE5-EB4FC1F7232A}">
      <text>
        <r>
          <rPr>
            <b/>
            <sz val="9"/>
            <color indexed="81"/>
            <rFont val="Tahoma"/>
            <family val="2"/>
          </rPr>
          <t>DO:</t>
        </r>
        <r>
          <rPr>
            <sz val="9"/>
            <color indexed="81"/>
            <rFont val="Tahoma"/>
            <family val="2"/>
          </rPr>
          <t xml:space="preserve">
วท217/2565
</t>
        </r>
      </text>
    </comment>
    <comment ref="I20" authorId="0" shapeId="0" xr:uid="{E6C2A916-705A-493A-A075-887425233B43}">
      <text>
        <r>
          <rPr>
            <b/>
            <sz val="9"/>
            <color indexed="81"/>
            <rFont val="Tahoma"/>
            <family val="2"/>
          </rPr>
          <t>DO:</t>
        </r>
        <r>
          <rPr>
            <sz val="9"/>
            <color indexed="81"/>
            <rFont val="Tahoma"/>
            <family val="2"/>
          </rPr>
          <t xml:space="preserve">
วท330/2564</t>
        </r>
      </text>
    </comment>
    <comment ref="J33" authorId="0" shapeId="0" xr:uid="{BF9307ED-165C-4CAC-BA37-EA057F189A7F}">
      <text>
        <r>
          <rPr>
            <b/>
            <sz val="9"/>
            <color indexed="81"/>
            <rFont val="Tahoma"/>
            <family val="2"/>
          </rPr>
          <t>DO:</t>
        </r>
        <r>
          <rPr>
            <sz val="9"/>
            <color indexed="81"/>
            <rFont val="Tahoma"/>
            <family val="2"/>
          </rPr>
          <t xml:space="preserve">
วท215/2565
</t>
        </r>
      </text>
    </comment>
    <comment ref="J36" authorId="0" shapeId="0" xr:uid="{689EA4EC-1771-46FD-90B4-CD8087AAD079}">
      <text>
        <r>
          <rPr>
            <b/>
            <sz val="9"/>
            <color indexed="81"/>
            <rFont val="Tahoma"/>
            <family val="2"/>
          </rPr>
          <t>DO:</t>
        </r>
        <r>
          <rPr>
            <sz val="9"/>
            <color indexed="81"/>
            <rFont val="Tahoma"/>
            <family val="2"/>
          </rPr>
          <t xml:space="preserve">
วท216/2565
</t>
        </r>
      </text>
    </comment>
  </commentList>
</comments>
</file>

<file path=xl/sharedStrings.xml><?xml version="1.0" encoding="utf-8"?>
<sst xmlns="http://schemas.openxmlformats.org/spreadsheetml/2006/main" count="3681" uniqueCount="1629">
  <si>
    <t>ลำดับที่</t>
  </si>
  <si>
    <t>โครงการทุนวิจัย</t>
  </si>
  <si>
    <t>หัวหน้าโครงการ</t>
  </si>
  <si>
    <t>ประเภททุน</t>
  </si>
  <si>
    <t>ภาควิชา</t>
  </si>
  <si>
    <t>ทุนนักวิจัยทั่วไป</t>
  </si>
  <si>
    <t>งบประมาณสนับสนุน</t>
  </si>
  <si>
    <t>เรื่อง อัลกอลริทึมที่มีประสิทธิภาพของการออกแบบแผนภูมิ EWMA ที่เหมาะสมสำหรับการตรวจจับการเปลี่ยนแปลงของค่าพารามิเตอร์</t>
  </si>
  <si>
    <t>เสาวณิต</t>
  </si>
  <si>
    <t>ผศ.ดร.</t>
  </si>
  <si>
    <t>สุขภารังษี</t>
  </si>
  <si>
    <t>สถานะ</t>
  </si>
  <si>
    <t>เรื่อง ช่วงความเชื่อมั่นสำหรับค่าเฉลี่ยสำหรับการแจกล็อกนอร์มอลที่จำกัดเขตชองพารามิเตอร์</t>
  </si>
  <si>
    <t>รศ.ดร.</t>
  </si>
  <si>
    <t>สอาด</t>
  </si>
  <si>
    <t>นิวิศพงศ์</t>
  </si>
  <si>
    <t>เรื่อง สูตรความสำเร็จค่าความยาววิ่งเฉลี่ยของแผนภูมิควบคุมค่าเฉลี่ยเคลื่อนที่สำหรับตรวจจับจำนวนของเสีย</t>
  </si>
  <si>
    <t>ยุพาภรณ์</t>
  </si>
  <si>
    <t>อารีพงษ์</t>
  </si>
  <si>
    <t>เรื่อง การวิเคราะห์ผลกระทบของราคาน้ำมันในตลาดหุ้นไทย</t>
  </si>
  <si>
    <t>อาจารย์</t>
  </si>
  <si>
    <t>เสาวลักษณ์</t>
  </si>
  <si>
    <t>เจศรีชัย</t>
  </si>
  <si>
    <t>เรื่อง กราฟเติมเต็มของกราฟปะติด</t>
  </si>
  <si>
    <t>เจษฎา</t>
  </si>
  <si>
    <t>ธารีบุญ</t>
  </si>
  <si>
    <t xml:space="preserve">เรื่อง ค่าชี้วัดการแพร่ระบาดและการแพร่ระบาดซ้ำของแบบจำลองการแพร่ระบาดชนิด SEIR และ SEQIJR </t>
  </si>
  <si>
    <t>เสนอ</t>
  </si>
  <si>
    <t>คุณประเสริฐ</t>
  </si>
  <si>
    <t>เรื่อง การอนุมานเชิงไวยากรณ์สำหรับการรู้จำตัวอักษรภาษาไทยที่เขียนด้วยลายมือแบบออนไลน์</t>
  </si>
  <si>
    <t>อนุชิต</t>
  </si>
  <si>
    <t>จิตพัฒนกุล</t>
  </si>
  <si>
    <t>เรื่อง ผลกระทบของภูมิคุ้มกันข้ามชั่วคราวต่อพลวัตของเชื้อไวรัสเดงกีสายพันธ์ที่อยู่ร่วมกัน</t>
  </si>
  <si>
    <t>อาจารย์ ดร.</t>
  </si>
  <si>
    <t xml:space="preserve">ณิชาภัทร </t>
  </si>
  <si>
    <t>บุญก่อเกื้อ</t>
  </si>
  <si>
    <t>เรื่อง ตัวควบคุมแบบสไลดิ้งโหมดอันดับสูงสำหรับการเคลื่อนที่สัมพันธ์ของยานอวกาศ</t>
  </si>
  <si>
    <t>ชุติพนธ์</t>
  </si>
  <si>
    <t>ภักดีบุญ</t>
  </si>
  <si>
    <t>เรื่อง เวลาและอัตราการลงทุนที่เหมาะสมสำหรับการลงทุน</t>
  </si>
  <si>
    <t>วลัยลักษณ์</t>
  </si>
  <si>
    <t>ชวนัสพร</t>
  </si>
  <si>
    <t>เรื่อง จำนวนจับคู่และจำนวนเส้นปกคลุมบนผลคูณโครเนคเกอร์ของกราฟอย่างง่าย</t>
  </si>
  <si>
    <t>รศ.</t>
  </si>
  <si>
    <t>ธานินทร์</t>
  </si>
  <si>
    <t>สิทธิวิรัชธรรม</t>
  </si>
  <si>
    <t>เรื่อง สมบัติของ KK-algebra</t>
  </si>
  <si>
    <t>ศุภวัชร์</t>
  </si>
  <si>
    <t>อัศวสัมฤทธิ์</t>
  </si>
  <si>
    <t>เรื่อง การวัดเส้นผ่าศูนย์กลางยังผลของอัลตราซาวด์ไฮโดรโฟน</t>
  </si>
  <si>
    <t>สุเมธ</t>
  </si>
  <si>
    <t>เรื่อง พลศาสตร์ของคลื่นสองมิติในตัวกลางเคมีที่ถูกกระตุ้นได้แบบไร้ฟองอากาศ</t>
  </si>
  <si>
    <t>จิราพร</t>
  </si>
  <si>
    <t>เหลืองวิริยะ</t>
  </si>
  <si>
    <t>เรื่อง ศักยภาพในการผลิตสารแอนโทไซยานินจากพืชในวงศ์ Amaranthaceae ด้วยการเพาะเลี้ยงแคลลัส</t>
  </si>
  <si>
    <t>กิตติ</t>
  </si>
  <si>
    <t>โพธิปัทมะ</t>
  </si>
  <si>
    <t>เรื่อง การผลิตกรดแลคติกจากกลีเซอรอลโดยกระบวนการทางชีวภาพโดยใช้จุลินทรีย์สายพันธ์บริสุทธิ์</t>
  </si>
  <si>
    <t>นางสาว</t>
  </si>
  <si>
    <t>ศิริอร</t>
  </si>
  <si>
    <t>บุญญวนิช</t>
  </si>
  <si>
    <t>เรื่อง การผลิตไฮโดรเจนจากน้ำเสียอุตสาหกรรมสกัดน้ำมันปาล์มด้วยเชื้อจุลินทรีย์บริสุทธิ์ร่วม</t>
  </si>
  <si>
    <t>นิพนธ์</t>
  </si>
  <si>
    <t>พิสุทธิ์ไพศาล</t>
  </si>
  <si>
    <t>เรื่อง การศึกษาการใช้แคลเซียมคลอไรด์ที่ผลิตจากเปลือกไข่สำหรับการล้างผัก</t>
  </si>
  <si>
    <t>งวดที่ 1</t>
  </si>
  <si>
    <t>งวดที่ 2</t>
  </si>
  <si>
    <t>งวดที่ 3</t>
  </si>
  <si>
    <t>ทุนคงเหลือ</t>
  </si>
  <si>
    <t>วิชัย</t>
  </si>
  <si>
    <t>ดำรงค์โภคภัณฑ์</t>
  </si>
  <si>
    <t>เรื่อง การทำให้บริสุทธิ์และการวิเคราะห์ลำดับกรดอะมิโนและคุณสมบัติของแบคเทอริโอชินที่ผลิตจากเชื้อ Weissello confuse CP3-1</t>
  </si>
  <si>
    <t>สุริยา</t>
  </si>
  <si>
    <t>ฤธาทิพย์</t>
  </si>
  <si>
    <t>เรื่อง เจลอุ้มน้ำจากเซลลูโลสที่ถูกดัดแปรทางเคมี</t>
  </si>
  <si>
    <t>สุทธินันท์</t>
  </si>
  <si>
    <t>พงษ์ธรรมรักษ์</t>
  </si>
  <si>
    <t>เรื่อง การศึกษาความเป็นไปได้ในการผลิต GDL ที่เป็นวัสดุผสมพอลิไวนิลลิดีนฟลูออไรด์ โดยกระบวนการปั่นเส้นใยนาโนด้วยไฟฟ้าสถิตย์</t>
  </si>
  <si>
    <t>รังสิมา</t>
  </si>
  <si>
    <t>หญีตสอน</t>
  </si>
  <si>
    <t>เรื่อง การพัฒนาตำรับผลิตภัณฑ์ฉีดพ่นในปากจากน้ำมันหอมระเหยของพืชสมุนไพร</t>
  </si>
  <si>
    <t>สุมนต์ทิพย์</t>
  </si>
  <si>
    <t>คงตันจันทร์ฟัก</t>
  </si>
  <si>
    <t>เรื่อง การผลิตเชื้อเพลิงชีวมวลจากวัสดุเหลือใช้ทางการเกษตร</t>
  </si>
  <si>
    <t>เพ็ญจา</t>
  </si>
  <si>
    <t>จิตจำรูญโชคไชย</t>
  </si>
  <si>
    <t>เรื่อง การพัฒนาโปรแกรมระบบฐานข้อมูลการจัดเก็บเอกสารสำหรับหน่วยงานการศึกษา</t>
  </si>
  <si>
    <t>นาง</t>
  </si>
  <si>
    <t>วีณา</t>
  </si>
  <si>
    <t>เนตรสว่าง</t>
  </si>
  <si>
    <t>เรื่อง การประยุกต์ใช้วิธีการแปลงเชิงอนุพันธ์สำหรับหาผลเฉลยของปัญหาสตูร์ม-ลียูวีล</t>
  </si>
  <si>
    <t>เอกชัย</t>
  </si>
  <si>
    <t>คุณวุฒิปรีชาชาญ</t>
  </si>
  <si>
    <t>เรื่อง การเปรียบเทียบการทดสอบความเท่ากันของสัมประสิทธิ์ความแปรผันเมื่อข้อมูลมีค่าผิดปกติ</t>
  </si>
  <si>
    <t>ปิยะฉัตร</t>
  </si>
  <si>
    <t>ลีลาศิลปศาสตร์</t>
  </si>
  <si>
    <t>ทุนนักวิจัยรุ่นใหม่</t>
  </si>
  <si>
    <t>เรื่อง การเอนแคปซูเลตสารเมทิลซาลิไซเลตในไมโครแคปซูลของพอลิเมอร์ที่สามารถย่อยสลายได้ทางชีวภาพ</t>
  </si>
  <si>
    <t>สริญญา</t>
  </si>
  <si>
    <t>ชวพันธ์</t>
  </si>
  <si>
    <t>เรื่อง การดูดซับสีย้อมจากน้ำเสียโรงงานฟอกย้อมโดยไคโตซานดัดแปร</t>
  </si>
  <si>
    <t>โกวิทย์</t>
  </si>
  <si>
    <t>ปิยะมังคลา</t>
  </si>
  <si>
    <t>เรื่อง การปรับปรุงแรงยึดเหนี่ยวระหว่างเซลลูโลสจากชานอ้อยกับพอลิแลคติกแอซิด โดยการต่อสายโซ่ด้วยพอลิเอทธิลีนไกลคอล</t>
  </si>
  <si>
    <t xml:space="preserve">ธารา </t>
  </si>
  <si>
    <t xml:space="preserve">เรื่อง การเตรียมแผ่นไฟฟ้าสองขั้วจากวัสดุเชิงประกอบของพอลิเมทิลเมทาคริเลต/พอลิยูริเทน/เขม่าดำ สำหรับเซลล์เชื้อเพลิง </t>
  </si>
  <si>
    <t>นฤมล</t>
  </si>
  <si>
    <t>เรื่อง การออกแบบและติดตั้งระบบระบายอากาศสำหรับห้องปฏิบัติการเคมี</t>
  </si>
  <si>
    <t>ชนัต</t>
  </si>
  <si>
    <t>บำรุงวงศ์ดี</t>
  </si>
  <si>
    <t>เรื่อง การเตรียมวัสดุเชิงประกอบพอลิเมอร์ชีวภาพที่มีคุณสมบัติกระจายไฟฟ้าสถิตภายใต้สนามไฟฟ้า</t>
  </si>
  <si>
    <t>วลัยพร</t>
  </si>
  <si>
    <t>ปฤษณารุณ เอื้อใจ</t>
  </si>
  <si>
    <t>เรื่อง การสร้างชุดทดสอบการไหลของน้ำในท่อ</t>
  </si>
  <si>
    <t>นาย</t>
  </si>
  <si>
    <t>ถิระ</t>
  </si>
  <si>
    <t>เพชรกำบังภัย</t>
  </si>
  <si>
    <t>เรื่อง การพัฒนาฐานข้อมูลบุคลากรสายวิชาการ ภาควิชาเทคโนโลยีอุตสาหกรรมเกษตร อาหาร และสิ่งแวดล้อม คณะวิทยาศาสตร์ประยุกต์</t>
  </si>
  <si>
    <t>จิราวรรณ</t>
  </si>
  <si>
    <t>บวรวงศ์เสถียร</t>
  </si>
  <si>
    <t>เรื่อง การศึกษาความเป็นไปได้ในการใช้หญ้าเปียร์เป็นวัตถุดิบในการผลิตก๊าซชีวภาพ</t>
  </si>
  <si>
    <t>เรื่อง คุณสมบัติเชิงหน้าที่ของผงโปรตีนไฮโดรไลเซทจากแมงกะพรุน</t>
  </si>
  <si>
    <t>เบญจวรรณ</t>
  </si>
  <si>
    <t>ธรรมธนารักษ์</t>
  </si>
  <si>
    <t>เรื่อง ผลของฮิวเมกเต้นท์ต่อคุณภาพของขนมตาล</t>
  </si>
  <si>
    <t>วันเพ็ญ</t>
  </si>
  <si>
    <t>น้อยเมือง</t>
  </si>
  <si>
    <t>เรื่อง การเพิ่มผลผลิตก๊าซมีเทนจากการหมักเปลือกกล้วยโดยการปรับสภาพเปลือกกล้วยด้วยเชื้อราและกระบวนการหมักร่วม</t>
  </si>
  <si>
    <t>เรื่อง จำนวนจุดปกคลุมและจำนวนอิสระบนผลคูณเข้มของกราฟบริบูรณ์</t>
  </si>
  <si>
    <t>ชนศักดิ์</t>
  </si>
  <si>
    <t>บ่ายเที่ยง</t>
  </si>
  <si>
    <t>เรื่อง จำนวนจับคู่และจำนวนเส้นปกคลุมบนผลคูณเข้มของกราฟบริบูรณ์</t>
  </si>
  <si>
    <t>เรื่อง สมบัติของ KK-algebra ll</t>
  </si>
  <si>
    <t>เรื่อง การพัฒนาโปรแกรมการจัดระบบอาจารย์ที่ปรึกษา</t>
  </si>
  <si>
    <t>จิราภรณ์</t>
  </si>
  <si>
    <t>รื่นสัมฤทธิ์</t>
  </si>
  <si>
    <t>เรื่อง ความสามารถในการเรียนรู้ของระดับภาษายอมรับไดแคแบบเข้ม</t>
  </si>
  <si>
    <t>เรื่อง การควบคุมแบบทำให้เหมาะสมที่สุดเชิงไลปูนอพสำหรับระบบแขนกลแข็งแกร็ง</t>
  </si>
  <si>
    <t xml:space="preserve">เรื่อง การมีอยู่จริงของคำตอบของปัญหาค่าขอบสามจุดสำหรับสมการผลต่าง q </t>
  </si>
  <si>
    <t>เรื่อง การจำลองเชิงตัวเลขของของไหลที่ไหลผ่านทรงกระบอกกลมที่รัศมีต่างกัน 2 อัน</t>
  </si>
  <si>
    <t>สุรัตนา</t>
  </si>
  <si>
    <t>สังข์หนุน</t>
  </si>
  <si>
    <t>เรื่อง ปัญหาการระเบิดในสมการเชิงอนุพันธ์ย่อยกับพจน์ไม่เชิงเส้นเคลื่อนที่ได้</t>
  </si>
  <si>
    <t>ภาณุมาศ</t>
  </si>
  <si>
    <t>แสวงทอง</t>
  </si>
  <si>
    <t>เรื่อง การคำนวณเชิงสัญลักษณ์ของการสเตอริไลส์อาหาร</t>
  </si>
  <si>
    <t>สันติพงษ์</t>
  </si>
  <si>
    <t>ประสาททอง</t>
  </si>
  <si>
    <t>เรื่อง โปรแกรมประยุกต์ใช้เฉพาะเรื่องแบบปฏิสัมพันธ์ของคณิตศาสตร์ไม่ต่อเนื่องบน Tablet</t>
  </si>
  <si>
    <t>โดม</t>
  </si>
  <si>
    <t>โล่ห์เพชร</t>
  </si>
  <si>
    <t>เรื่อง ช่วงความเชื่อมั่นสำหรับผลต่างค่าเฉลี่ยสำหรับการแจกแจงปกติ</t>
  </si>
  <si>
    <t>สุภารัตน์</t>
  </si>
  <si>
    <t>เรื่อง ช่วงความเชื่อมั่นสำหรับสัมประสิทธิ์ความผันแปรของการแจกแจงแบบบล๊อกนอร์มอลเมื่อพารามิเตอร์ถูกจำกัดขอบเขต</t>
  </si>
  <si>
    <t>เรื่อง ค่าความยาววิ่งเฉลี่ยของแผนภูมิควบคุมค่าเฉลี่ยเคลื่อนที่แบบถ่วงน้ำหนักสองครั้งสำหรับกระบวนการนับที่มีศูนย์มาก</t>
  </si>
  <si>
    <t>เรื่อง ค่าวัดคุณลักษณะของแผนการชักตัวอย่างแบบต่อเนื่องระดับเดียวสำหรับสายการผลิตระยะสั้น</t>
  </si>
  <si>
    <t>ธิดาเดียว</t>
  </si>
  <si>
    <t>มยุรีสวรรค์</t>
  </si>
  <si>
    <t>เรื่อง การเปรียบเทียบประสิทธิภาพของแผนภูมิควบคุมความคลาดเคลื่อนสำหรับตัวแบบ AR(p) ที่มีแนวโน้ม</t>
  </si>
  <si>
    <t>เรื่อง การพัฒนาสบู่สมุนไพรใสกลีเชอรีนผสมสารสกัดสมุนไพรที่มีประสิทธิภาพในการยับยั้งเชื้อแบคทีเรียที่ก่อให้เกิดโรคบริเวณผิวหนัง</t>
  </si>
  <si>
    <t>เรื่อง การผลิตวัสดุปลูกพืชสำเร็จรูปจากกากตะกอนโรงบำบัดน้ำประปา</t>
  </si>
  <si>
    <t>เรื่อง การพิสูจน์เอกลักษณ์ของแบคเทอริโอซินที่ได้จากการคัดแยกเชื้อที่ผลิตแลคติกจากทางเดินอาหารของปลาน้ำจืดไทยเพื่อยับยั้งเชื้อที่ก่อให้เกิดโรคในอาหาร</t>
  </si>
  <si>
    <t>ศศิธร</t>
  </si>
  <si>
    <t>คงเรือง</t>
  </si>
  <si>
    <t>เรื่อง การพัฒนาระบบผู้เชี่ยวชาญแบบสากลโดยปราศจากวิศวกรความรู้</t>
  </si>
  <si>
    <t>อัครา</t>
  </si>
  <si>
    <t>ประโยชน์</t>
  </si>
  <si>
    <t>เรื่อง การวิเคราะห์เชิงโครงสร้างและธาตุองค์ประกอบเพื่อพัฒนาองค์คุณภาพของผลิตภัณฑ์เครื่องสำอาจโดยการผสมไคโตซานจากขยะเปลือกกุ้ง</t>
  </si>
  <si>
    <t>ผศ.</t>
  </si>
  <si>
    <t>วรวิทย์</t>
  </si>
  <si>
    <t>รัตนวงษ์</t>
  </si>
  <si>
    <t>เรื่อง การวัดความเร็วของคลื่นอัลตราซาวด์ในตัวกลางชนิดต่างๆ</t>
  </si>
  <si>
    <t>เรื่อง การศึกษาแนวทางอนุรักษ์พลังงานภายในมหาวิทยาลัยเทคโนโลยีพระจอมเกล้าพระนครเหนือ</t>
  </si>
  <si>
    <t>เก็จ</t>
  </si>
  <si>
    <t>แก้วแดง</t>
  </si>
  <si>
    <t>อ่ำชิต</t>
  </si>
  <si>
    <t>เรื่อง การศึกษาทดลองการขนส่งและรวมกันของหยดของเหลวโดยใช้ไมโครคอนโทรลเลอร์สำหรับวัดทางเคมี</t>
  </si>
  <si>
    <t>เกษรารัตน์</t>
  </si>
  <si>
    <t>อักษรรัตน์</t>
  </si>
  <si>
    <t>เรื่อง ผลของขนาดผงแป้งถั่วแดงหลวงกึ่งสำเร็จรูปและชนิดของน้ำตาลที่มีต่อการเกิดเจลของวุ้นถั่วแดง</t>
  </si>
  <si>
    <t>สุธิดา</t>
  </si>
  <si>
    <t>อัครชนียากร</t>
  </si>
  <si>
    <t>เรื่อง ผลของการล้างน้ำและสารประกอบฟอสเฟตต่อสมบัติของเจลโปรตีนจากเนื้อปลานิล</t>
  </si>
  <si>
    <t>สุธีรา</t>
  </si>
  <si>
    <t>ขันทพันธ์</t>
  </si>
  <si>
    <t>เรื่อง พลังงานทางเลือกจากน้ำมันไก่ในรูปแบบเชื้อเพลิงผสม</t>
  </si>
  <si>
    <t>อมราภรณ์</t>
  </si>
  <si>
    <t>แก้วชะฎา</t>
  </si>
  <si>
    <t>เรื่อง คำตอบเชิงตัวเลขและการวิเคราะห์ความเสถียรของแบบวงจรทางคณิตศาสตร์ของปฏิกิริยากลูโคสอินซูลินที่มีการล่วงเวลา</t>
  </si>
  <si>
    <t>เรื่อง ระบบจัดการสารสนเทศสำหรับงานประกันคุณภาพการศึกษา</t>
  </si>
  <si>
    <t>กฤดาภัทร</t>
  </si>
  <si>
    <t>สีหารี</t>
  </si>
  <si>
    <t>เรื่อง การวิเคราะห์พฤติกรรมการสื่อสารในเฟซบุ๊ค (face book) ของนักศึกษาคณะวิทยาศาสตร์ประยุกต์</t>
  </si>
  <si>
    <t>ภิรมย์</t>
  </si>
  <si>
    <t>พาบุ</t>
  </si>
  <si>
    <t>เรื่อง การศึกษาพลวัตรหน่วงเวลาของแมลงศัตรูพืชและแมลงจำกัดศัตรูพืช</t>
  </si>
  <si>
    <t>ณิชาภัทร</t>
  </si>
  <si>
    <t xml:space="preserve">เรื่อง พี-เซมิเชิงเดียว พีชคณิต KK </t>
  </si>
  <si>
    <t>เรื่อง จำนวนจับคู่และจำนวนเส้นปกคลุมบนผลคูณเทนเซอร์ของกราฟวงล้อหัวหน้า</t>
  </si>
  <si>
    <t>เรื่อง อันดับบางส่วนบนเซทของกึ่งกรุปและไดกราฟเอนโดเคย์เลย์</t>
  </si>
  <si>
    <t>อภิชาติ</t>
  </si>
  <si>
    <t>ศุรธณี</t>
  </si>
  <si>
    <t>ชานนท์</t>
  </si>
  <si>
    <t>พรมสกล</t>
  </si>
  <si>
    <t>เรื่อง เทคนิคการจัดลำดับก่อนหลังสำหรับการค้นหาความเป็นศูนย์กลางของโครงข่ายปฏิสัมพันธ์ระหว่างโปรตีน</t>
  </si>
  <si>
    <t>เรื่อง การควบคุมแบบคอมโพซิสเทอร์มินัสสไลด์ดิ้งโหมดสำหรับการเลื่อนและการปรับแอตทิจูดของยานอวกาศ</t>
  </si>
  <si>
    <t>เรื่อง แคลคูลัสความตัมบนช่วงจำกัดและการประยุกต์กับสมการผลต่าง q ที่มีอิมพัลส์</t>
  </si>
  <si>
    <t>เรื่อง การรู้จำอารมณ์จากข้อมูลเสียงและภาพโดยใช้วิธีการให้เหตุผลอิงกรณีศึกษาแบบละมุนยืดหยุ่นหลายเงื่อนไข</t>
  </si>
  <si>
    <t>สุพจน์</t>
  </si>
  <si>
    <t>นิตย์สุวัฒน์</t>
  </si>
  <si>
    <t>เรื่อง คุณสมบัติปิดของระดับภาษาที่รู้จำได้โดยออโตมาตาสถานะจำกัดขอบเค</t>
  </si>
  <si>
    <t>เรื่อง การศึกษาการผลิตน้ำส้มสายชูหมักจากเปลือกกล้วยน้ำว้า</t>
  </si>
  <si>
    <t>เรื่อง การผลิตไฮโดรเจนและมีเทนแบบสองขั้นตอนจากเศษอาหารในถังปฏิกิริยาไหลต่อเนื่อง</t>
  </si>
  <si>
    <t>เรื่อง การผลิตก๊าซไฮโดรเจนจากกลีเซอรอลของเสียที่ได้จากอุตสาหกรรมผลิตไบโอดีเซล</t>
  </si>
  <si>
    <t>เรื่อง การสกัดสีจากเส้นใยและดอกเห็ดตับเต่า (Boletus spp.) เพื่อการย้อมสีเส้นไหมไทย</t>
  </si>
  <si>
    <t>ไพรินทร์</t>
  </si>
  <si>
    <t>กปิลานนท์</t>
  </si>
  <si>
    <t>เรื่อง การพัฒนาวิธีการล้างไบโอดีเซลโดยใช้ช่องจุลภาค</t>
  </si>
  <si>
    <t>เรื่อง การพัฒนาผลิตภัณฑ์สารสกัดจากพืชสมุนไพรที่มีฤทธิ์ในการกำจัดเห็บสุนัข</t>
  </si>
  <si>
    <t>คงตัน จันทร์ฟัก</t>
  </si>
  <si>
    <t>เรื่อง การเปรียบเทียบฤทธิ์การต้านอนุมูลอิสระและการยับยั้งเชื้อแบคทีเรียก่อโรคของสารสกัดจากผลฟักข้าวดิบและสุกในตัวทำละลายต่างๆ</t>
  </si>
  <si>
    <t>ศิริขวัญ</t>
  </si>
  <si>
    <t>ทินรัตน์</t>
  </si>
  <si>
    <t>เรื่อง ความหลากหลายของเชื้อจุลินทรีย์และผลสารสกัดสมุนไพรต่อการยับยั้งการเจริญของเชื้อจุลินทรีย์ที่ปนเปื้อนบนเนื้อไก่และเนื้อปลาน้ำจืด</t>
  </si>
  <si>
    <t>ชัชวาล</t>
  </si>
  <si>
    <t>สิงหะพล</t>
  </si>
  <si>
    <t>เรื่อง การผลิตปุ๋ยอินทรีย์อัดเม็ดจากวัสดุเหลือทิ้งโรงงานอุตสาหกรรมเนื้อสัตว์</t>
  </si>
  <si>
    <t xml:space="preserve">เพ็ญจา </t>
  </si>
  <si>
    <t>เรื่อง การปรับปรุงการผลิตยีสต์ผลิตไขมันโดยการออกแบบการทดลองแบบทากูชิ</t>
  </si>
  <si>
    <t>โสภา</t>
  </si>
  <si>
    <t>กลิ่นจันทร์</t>
  </si>
  <si>
    <t>เรื่อง การวิเคราะห์ประสิทธิภาพสถาบันอุดมศึกษาตามตัวบ่งชี้การประกันคุณภาพการศึกษา : กรณีศึกษา เครือข่ายการประกันคุณภาพ 3 มหาวิทยาลัย</t>
  </si>
  <si>
    <t>ภาศกร</t>
  </si>
  <si>
    <t>พันธุ์รอด</t>
  </si>
  <si>
    <t>เรื่อง การวิเคราะห์ปัจจัยที่มีผลต่อความสำเร็จของงานวิจัยของบุคลากรคณะวิทยาศาสตร์ประยุกต์ มหาวิทยาเทคโนโลยีพระจอมเกล้าพระนครเหนือ</t>
  </si>
  <si>
    <t>ภควรรณ</t>
  </si>
  <si>
    <t>สีสวย</t>
  </si>
  <si>
    <t>เรื่อง การศึกษาความเป็นไปได้ในการผลิตเชิงพานิชย์ของกระบวนการสกัดแคโรทีนอยด์จากน้ำมันปาล์มดิบ</t>
  </si>
  <si>
    <t>ปริญญา</t>
  </si>
  <si>
    <t>คงพรม</t>
  </si>
  <si>
    <t>เรื่อง ช่วงความเชื่อมั่นสำหรับค่าเฉลี่ยและอัตราส่วนค่าเฉลี่ยสำหรับการแจกแจงล็อกนอร์มอลเมื่อทราบสัมประสิทธิ์ความผันแปร</t>
  </si>
  <si>
    <t>เรื่อง การเปรียบเทียบประสิทธิภาพของแผนภูมิควบคุม CUSUM และ EWMA แบบใช้พารามิเตอร์และไม่ใช้พารามิเตอร์เมื่อข้อมูลมีการแจกแจงเลขชี้กำลัง</t>
  </si>
  <si>
    <t>เรื่อง ค่าพารามิเตอร์ที่เหมาะสมของแผนภูมิควบคุมสำหรับกระบวนการที่มีศูนย์มาก</t>
  </si>
  <si>
    <t>เรื่อง การวิเคราะห์ทางไฟฟ้าเคมีโดยอิเล็กโทรเวทติ้งออนไดอิเล็กตริกแบบด้านเดียว</t>
  </si>
  <si>
    <t>เรื่อง การวัดคุณสมบัติของสนามคลื่นอัลตราซาวด์จากอัลตราซาวด์ทรานสดิวเซอร์ที่มีค่าความเข้มและการโฟกัสสูง</t>
  </si>
  <si>
    <t>เรื่อง การวิเคราะห์ความแปรปรวนของอัตราการเต้นของหัวใจด้วยวิธีเวฟเล็ตในผู้ป่วยไตวายเรื้อรังระยะสุดท้ายที่มีระดับพาราไทรอยด์โมนสูงที่ได้รับการบำบัดทดแทนไตด้วยการล้างไตทางช่องท้องแบบต่อเนื่อง</t>
  </si>
  <si>
    <t>วีระศักดิ์</t>
  </si>
  <si>
    <t>อัศววงศ์อารยะ</t>
  </si>
  <si>
    <t>เรื่อง การศึกษาผลของน้ำหนักตัวที่มีต่อการเสื่อมของข้อเข่าด้วยระเบียบวิธีไฟไนต์เอลิเมนต์สามมิติ</t>
  </si>
  <si>
    <t>ภัทรวีรินทร์</t>
  </si>
  <si>
    <t>วรรัฐสุนทร</t>
  </si>
  <si>
    <t>เรื่อง การศึกษาความเป็นพิษของอนุภาคนาโนพอลิเมอร์ชนิดพอลิเอทิลีนไกลคอลโมดิไฟด์ยูรีเทนอะครีเลท</t>
  </si>
  <si>
    <t>วรพงศ์</t>
  </si>
  <si>
    <t>ตั้งอิทธิพลากร</t>
  </si>
  <si>
    <t>เรื่อง ผลจากความเข้มข้นของไนซินต่ออายุการเก็บรักษาเต้าหู้นมสด</t>
  </si>
  <si>
    <t>ณัฐสุดา</t>
  </si>
  <si>
    <t>สุมณศิริ</t>
  </si>
  <si>
    <t>เรื่อง ผลของกระบวนการแปรรูปต่อกิจกรรมการเป็นสารต้านอนุมูลอิสระของผลหมากเม่า</t>
  </si>
  <si>
    <t>รัฐกรณ์</t>
  </si>
  <si>
    <t>จำนงค์ผล</t>
  </si>
  <si>
    <t>เรื่อง การออกแบบเซนเซอร์ชิพที่สามารถป้องกันการจับกันแบบไม่จำเพาะเจาะจงของสารตัวอย่างสำหรับการประยุกต์ใช้ในงานด้านชีวการแพทย์</t>
  </si>
  <si>
    <t>ธิดารัตน์</t>
  </si>
  <si>
    <t>หวังคำ</t>
  </si>
  <si>
    <t>เรื่อง อุปกรณ์จับเวลาแบบไร้สายโดยหลักการตรวจจับแสงสำหรับการสอนฟิสิกส์</t>
  </si>
  <si>
    <t>วุฒิชัย</t>
  </si>
  <si>
    <t>พัฒน์ชนะ</t>
  </si>
  <si>
    <t>เรื่อง การมีอยู่จริงของคำตอบสำหรับปัญหาค่าขอบเป็นคาบของสมการเชิงผลต่าง q ไม่เชิงเส้น</t>
  </si>
  <si>
    <t xml:space="preserve">เรื่อง สมบัติของ KM-algebra </t>
  </si>
  <si>
    <t>เรื่อง รงคเลขของไดกราฟเคย์เลย์การกรุปวัฎจักร</t>
  </si>
  <si>
    <t>เรื่อง ขั้นตอนวิธีจุดตรึงสำหรับการแก้ไขปัญหาความเป็นไปได้นูนและการประยุกต์ใช้ในปัญหาค่าเหมาะสม</t>
  </si>
  <si>
    <t>กนกวรรณ</t>
  </si>
  <si>
    <t>สิทธิเถกิงเกียรติ</t>
  </si>
  <si>
    <t>เรื่อง ออโตมาตาจำกัดสำหรับการแยกแยะสัญญาณคลื่นไฟฟ้าหัวใจโดยวิธีการอนุมานเชิงไวยากรณ์</t>
  </si>
  <si>
    <t>เรื่อง สมการเชิงอนุพันธ์เศษส่วนรีมานน์-ลูวีลล์ร่วมกับเงื่อนไขอินทิกรัลเศษส่วนฮาดามาร์ด</t>
  </si>
  <si>
    <t>เรื่อง การวิเคราะห์ตัวอักษรและตัวเลขแบบอัตโนมัติเพื่อการประมวลข้อมูลปกข้อสอบ</t>
  </si>
  <si>
    <t>เรื่อง ระบบนำทางภายในอาคารเชิงซิมโบลิค</t>
  </si>
  <si>
    <t>เรื่อง การผลิตก๊าซมีเทนจากกลีเซอรอลของเสียโดยใช้กระบวนการหมักร่วม</t>
  </si>
  <si>
    <t>เรื่อง การคัดเลือกและจำแนกสายพันธุ์แบคทีเรียประเภทออโตโทโทรฟที่มีความสามารถในการจำกัดก๊าซไฮโดรเจนซัลไฟล์</t>
  </si>
  <si>
    <t>เรื่อง การหาสภาวะที่เหมาะสมในการสกัดน้ำมันจากฟักข้าวด้วยวิธีสกรูเพลส</t>
  </si>
  <si>
    <t>เรื่อง การผลิตซูริมิจากเนื้อปลายี่สกและการปรับปรุงคุณภาพโดยการล้างและเติมโปรตีนธรรมชาติเพื่อการปรับปรุงเนื้อสัมผัส</t>
  </si>
  <si>
    <t>เรื่อง การดูดซึมก๊าซคาร์บอนไดออไซด์โดยใช้สารละลายโมโนเอทาโนลามีน (MEA) ในช่องจุลภาค</t>
  </si>
  <si>
    <t>เรื่อง การคัดแยกกลุ่มแบคทีเรียที่ย่อยสลายน้ำมันดิบและการประยุกต์ใช้ในสิ่งแวดล้อม</t>
  </si>
  <si>
    <t>วรรณรัก</t>
  </si>
  <si>
    <t>นพเจริญกุล</t>
  </si>
  <si>
    <t>เรื่อง การผลิตเชื้อเพลิงชีวมวลอัดแท่งจากวัสดุเหลือใช้จากโรงงานอุตสากรรม</t>
  </si>
  <si>
    <t>ธานุวัฒน์</t>
  </si>
  <si>
    <t>ลาภตันศุภผล</t>
  </si>
  <si>
    <t>เรื่อง การพัฒนาผลิตภัณฑ์สารสกัดจากพืชสมุนไพรไทยที่มีฤทธิ์ในการป้องกันและไล่ยุงรำคาญ สายพันธุ์ Culex quinquefasciatus</t>
  </si>
  <si>
    <t>เรื่อง ช่วงความเชื่อมั่นสำหรับสัมประสิทธิ์ความแปรผันของการแจกแจงปกติเมื่อทราบอัตราส่วนของความแปรปรวน</t>
  </si>
  <si>
    <t>เรื่อง ช่วงความเชื่อมั่นสำหรับค่ามัธยฐานสำหรับการแจกแจงล็อกนอร์มอลที่ค่าเฉลี่ยประชากรถูกจำกัดขอบเขต</t>
  </si>
  <si>
    <t>เรื่อง แผนควบคุมค่าเฉลี่ยเคลื่อนที่ถ่วงน้ำหนักแบบเลขชี้กำลังที่ปรับปรุงจากการแปลงโดยวิธีรากที่สอง สำหรับตรวจจับจำนวนรอยตำหนิ</t>
  </si>
  <si>
    <t>เรื่อง แผนควบคุมค่าเฉลี่ยเคลื่อนที่ถ่วงน้ำหนักโดยทั่วไปสำหรับการแจกแจงปัวส์ซงที่มีศูนย์มาก</t>
  </si>
  <si>
    <t>เรื่อง การศึกษาสมบัติเชิงโครงสร้างและคุณลักษณะเฉพาะของไคโตซานที่สกัดจากขยะเปลือกกุ้งเพื่อการบำบัดน้ำเสียในโรงงานอุตสาหกรรม</t>
  </si>
  <si>
    <t>กนิษฐา</t>
  </si>
  <si>
    <t>ฉันทนาชัย</t>
  </si>
  <si>
    <t>เรื่อง การสอบเทียบอัลตราโซนิคไฮโดรโฟนโพรบในช่วงความถี่ตั้งแต่ 250 กิโลเฮิรตซ์ ถึง 1 เมกกะเฮิรตซ์</t>
  </si>
  <si>
    <t>เรื่อง การประมวลผลคลื่นไฟฟ้าหัวใจในผู้ป่วยที่ได้รับการบำบัดด้วยการฟอกเลือดด้วยเครื่องไตเทียมที่มีระดับของพาราไทรอยด์ฮอร์โมนสูง</t>
  </si>
  <si>
    <t>เรื่อง การคัดกรองปริมาณแอลฟาฟีโตโปรตีนเพื่อการวินิจฉัยโรคมะเร็งตับด้วยเทคนิคคลื่นผิวพลาสมอน</t>
  </si>
  <si>
    <t>เรื่อง การผลิตเอทานอลจากรีเจนเนอเรตเซลลูโลสของเส้นใยทะลายปาล์ม</t>
  </si>
  <si>
    <t>ศิริศาส</t>
  </si>
  <si>
    <t>เอื้อใจ</t>
  </si>
  <si>
    <t>เรื่อง การสังเคราะห์น้ำแร่คุณภาพสูงสำหรับการประยุกต์ใช้ในเครื่องสำอาง</t>
  </si>
  <si>
    <t>ณคเดช</t>
  </si>
  <si>
    <t>ยังวิลัย</t>
  </si>
  <si>
    <t>เรื่อง การเตรียมระบบนำส่งยาประเภทฮีโมสเตซีสด้วยแคปซูลพอลิแลคติคโคไกลโคลิกแอซิด</t>
  </si>
  <si>
    <t>เครือองอาจนุกูล</t>
  </si>
  <si>
    <t>เรื่อง การดูดซึมสารพลอยได้จากการเติมคลอรีนในน้ำประปาด้วยตัวดูดซับที่ทำจากแกลบข้าว</t>
  </si>
  <si>
    <t>จารุวรรณ</t>
  </si>
  <si>
    <t>ตาฬวัฒน์</t>
  </si>
  <si>
    <t>ปิยรัตน์</t>
  </si>
  <si>
    <t>ตรีกิตติวงศ์</t>
  </si>
  <si>
    <t>เรื่อง การผลิตแผ่นลดทอนรังสีเอกซ์จากพอลิเมอร์คอพอสิต</t>
  </si>
  <si>
    <t>นพวรรณ</t>
  </si>
  <si>
    <t>ชนัญพานิช</t>
  </si>
  <si>
    <t>เรื่อง การประเมินความเสี่ยงและการตอบโต้เหตุฉุกเฉินห้องปฏิบัติการวิจัยเคมี</t>
  </si>
  <si>
    <t>สุราณี</t>
  </si>
  <si>
    <t>อโณทัยรุ่งรัตน์</t>
  </si>
  <si>
    <t>เรื่อง ผลสัมฤทธิ์ทางการเรียนและความพึงพอใจของผู้เรียนด้วยการใช้เว็ปเครือข่ายสังคมเพื่อการเรียนการสอน</t>
  </si>
  <si>
    <t>เรื่อง การศึกษาเพื่อนำกากของเสียมาประยุกต์ใช้ในการผลิตเอนไซม์แลคเคส</t>
  </si>
  <si>
    <t xml:space="preserve">จันทิยา </t>
  </si>
  <si>
    <t>อิสณพงษ์</t>
  </si>
  <si>
    <t>เรื่อง การปรับแต่งหมู่ปลายสายโซ่ของสารยับยั้งตะกรันฐานพอลิอะคริลิกแอซิดที่สามารถตรวจหาประมาณที่ยู่ในน้ำหล่อเย็นได้</t>
  </si>
  <si>
    <t>สมิทธิชัย</t>
  </si>
  <si>
    <t>สียางนอก</t>
  </si>
  <si>
    <t>เรื่อง การประเมินอันตรายทางความร้อนของไฮโดรเจนเปอร์ออกไซด์โดยดิฟเฟอเรนเชียลสแกนนิงแคลอริมิเตอร์</t>
  </si>
  <si>
    <t>เรื่อง ยางเทอร์โมพลาสติกวัลคาไนเซตผสมพอลิพรอลิลีนรีไซเคิลสำหรับการนำไปใช้ในอุตสาหกรรมผลิตชิ้นส่วนรถยนต์</t>
  </si>
  <si>
    <t xml:space="preserve">เรื่อง สมบัติของ MRK-algebra </t>
  </si>
  <si>
    <t>เรื่อง ปัญหาค่าขอบสามจุดเชิงผลรวมไม่เฉพาะที่ สำหรับสมการเชิงผลต่างที่มีผลต่างอันดับเศษส่วนต่างกัน</t>
  </si>
  <si>
    <t>เรื่อง ค่าดัชนีความสัมพันธ์เชิงความน่าจะเป็นเพื่อบ่งชี้ความสัมพันธ์ทางชีววิทยาในโครงข่ายที่มีความซับซ้อน</t>
  </si>
  <si>
    <t>ดร.</t>
  </si>
  <si>
    <t>เรื่อง รูปแบบที่เหมาะสมสำหรับปัญหาเชิงดุลยภาพเวกเตอร์และปัญหาค่าเหมาะสมที่สุด</t>
  </si>
  <si>
    <t>เรื่อง สมบัติบางประการของกราฟผลบวกของกรุปวัฎจักร</t>
  </si>
  <si>
    <t>เรื่อง การควบคุมเหมาะสมที่สุดแบบสไลด์ดิ้งโหมดผกผันสำหรับการเลื่อนตำแหน่งและปรับแอตทิจูดของยานอวกาศ</t>
  </si>
  <si>
    <t>ทุนสนับสนุนนักวิจัย สกว.</t>
  </si>
  <si>
    <t>เรื่อง การตรวจหาคุณลักษณะของออกไซด์บนโลหะผสมอินโคลอยกับการใช้งานอุณหภูมิสูง</t>
  </si>
  <si>
    <t>อนุสรา</t>
  </si>
  <si>
    <t>ศรีสรวล</t>
  </si>
  <si>
    <t>เรื่อง การเปรีบยเทียบผลเฉลยเชิงวิเคราะห์และเชิงตัวเลขของระบบที่คล้ายระบบล๊อคที่มีอันดับเป็นเศษส่วนที่ไม่เท่ากัน</t>
  </si>
  <si>
    <t>เสกสรร</t>
  </si>
  <si>
    <t>สิริทรัพย์ทวี</t>
  </si>
  <si>
    <t>เรื่อง สมการผลต่างอิมพัลส์</t>
  </si>
  <si>
    <t>เรื่อง คำตอบสมมาตรสำหรับสมการเชิงอนุพันธ์เศษส่วนฮาดามาร์ด-แลนจีวิน</t>
  </si>
  <si>
    <t>ชนากานต์</t>
  </si>
  <si>
    <t>เกียรติอร่ามกุล</t>
  </si>
  <si>
    <t>เรื่อง ผลภาวะอ้วนต่อระบบประสาทอัตโนมัติที่ควบคุมหัวใจของผู้ป่วยที่บำบัดด้วยการฟอกไตทางหน้าท้องอย่างต่อเนื่อง</t>
  </si>
  <si>
    <t>เรื่อง การแก้ไขค่าเฉลี่ยเชิงพื้นที่ในการสอบเทียบอัลตราซาวด์ไดรโฟน</t>
  </si>
  <si>
    <t>เรื่อง เสถียรภาพและสมบัติเชื้อเพลิงของดีโซฮอล์ที่ใช้ GMS เป็นสารเติมแต่ง</t>
  </si>
  <si>
    <t>เรื่อง คุณภาพของปลาทูต้มลดโซเดียมภายใต้การบรรจุแบบสภาวะบรรยากาศดัดแปลง</t>
  </si>
  <si>
    <t>เรื่อง ปัญหาและความต้องการในการทำโครงงานพิเศษของนักศึกษาภาควิชาเทคโนโลยีอุตสาหกรรมเกษตร อาหาร และสิ่งแวดล้อม คณะวิทยาศาสตร์ประยุกต์</t>
  </si>
  <si>
    <t>อัจจิมา</t>
  </si>
  <si>
    <t>สมท่า</t>
  </si>
  <si>
    <t>เรื่อง การสกัดและสมบัติของไคโตซานจากเปลือกกุ้งต้มและการประยุกต์ใช้ในอาหาร</t>
  </si>
  <si>
    <t>เรื่อง การศึกษาประชากรจุลินทรีย์ในเซลล์เชื้อเพลิงจุลินทรีย์ที่มีความสามารถในการผลิตกระแสไฟฟ้าจากน้ำเสียที่มีไนโตรเจนเป็นองค์ประกอบสูง</t>
  </si>
  <si>
    <t>เรื่อง การพัฒนาเซลล์เชื้อเพลิงจุลินทรีย์เพื่อบำบัดน้ำเสียที่มีไนโตรเจนสูง</t>
  </si>
  <si>
    <t>พีรพงษ์</t>
  </si>
  <si>
    <t>พรวงศ์ทอง</t>
  </si>
  <si>
    <t>เรื่อง การพัฒนาไอศกรีมกะทิผสมเยื้อหุ้มเมล็ดฟักข้าว และผลของชนิดและปริมาณของสารทดแทนไขมันต่อคุณสมบัติของไอศกรีมกะทิผสมเยื้อหุ้มเมล็ดฟักข้าวสูตรลดไขมัน</t>
  </si>
  <si>
    <t>เรื่อง การฟอกจางสีเคมีสังเคราะห์โดยใช้เอนไซม์แลคเคสจากเห็ดกระด้าง</t>
  </si>
  <si>
    <t>จันทิยา</t>
  </si>
  <si>
    <t>เรื่อง ค่าความยาววิ่งเฉลี่ยของแผนภูมิควบคุมรวมสะสมด้วยวิธีลูกโซ่มาร์คอฟสำหรับกระบวนการปัวซงทีมีศูนย์มาก</t>
  </si>
  <si>
    <t>เรื่อง การประมาณช่วงความเชื่อมั่นของขนาดอิทธิพลโดยวิธีโบเน็ตบูตสแตรป</t>
  </si>
  <si>
    <t>สุวิมล</t>
  </si>
  <si>
    <t>พันธ์แย้ม</t>
  </si>
  <si>
    <t>เรื่อง การวิเคราะห์ข้อมูลจีโนมสนิปโดยใช้การถอถอยแบบไร้พารามิเตอร์ร่วมกับการถดถอยเคอร์เนลแมซีน</t>
  </si>
  <si>
    <t>เพียรพูล</t>
  </si>
  <si>
    <t>เกิดวิชัย</t>
  </si>
  <si>
    <t>เรื่อง การเปรียบเทียบประสิทธิภาพระหว่างแผนภูมิควบคุม EWMA และ CUSUM แบบไม่ใช้พารามิเตอร์สำหรับตรวจจับการเปลี่ยนแปลงกระบวนการ</t>
  </si>
  <si>
    <t>คณิตา</t>
  </si>
  <si>
    <t>เพ็ชรัตน์</t>
  </si>
  <si>
    <t>เรื่อง ตัวแบบการถดถอยเซอร์คิวลาร์-เซอร์คิวลาร์และการประยุกต์ใช้กับข้อมูลอุตุนิยมวิทยา</t>
  </si>
  <si>
    <t>อรไท</t>
  </si>
  <si>
    <t>พลเสน</t>
  </si>
  <si>
    <t>เรื่อง การเปรียบเทียบประสิทธิภาพระหว่าง แผนภูมิควบคุม NPEWMA-SR และ NPEWMA-SN สำหรับการตรวจจับการเปลี่ยนแปลงของกระบวนการ</t>
  </si>
  <si>
    <t>เรื่อง ช่วงความเชื่อมั่นสำหรับสัมประสิทธิ์ความแปรผันของการแจกแจงปกติเมื่อทราบความแปรปรวน 1 กลุ่ม</t>
  </si>
  <si>
    <t>นิวิศพงษ์</t>
  </si>
  <si>
    <t>เรื่อง ช่วงความเชื่อมั่นสำหรับสัมประสิทธิ์ความแปรปรวนและอัตราส่วนค่าความแปรปรวนสำหรับการแจกแจงล็อกนอร์มอลเมื่อทราบสัมประสิทธิ์ความผันแปร</t>
  </si>
  <si>
    <t>เรื่อง ตัวประมาณอัตราส่วนของค่าเฉลี่ยประชากรโดยฟังชันของคอวไทล์ของตัวแปรช่วยสำหรับการสุ่มตัวอย่างแบบ 2 ครั้ง</t>
  </si>
  <si>
    <t>นวลพรรณ</t>
  </si>
  <si>
    <t>ลอว์สัน</t>
  </si>
  <si>
    <t>เรื่อง แผนควบคุมค่าเฉลี่ยเคลื่อนที่สำหรับการแจกแจงปัวซงแบบทั่วไป</t>
  </si>
  <si>
    <t>ชนาพันธ์</t>
  </si>
  <si>
    <t>ชนาเนตร</t>
  </si>
  <si>
    <t>เรื่อง การวิเคราะห์ความเชี่ยวชาญนักวิจัยและการเรียงลำดับแบบหลายมุมมองสำหรับระบบค้นหาความเชี่ยวชาญนักวิจัย</t>
  </si>
  <si>
    <t>เรื่อง การศึกษาคุณสมบัติทางกายภาพ-เคมีของพืชสมุนไพรไทยที่ใช้ในการขัดผิวและการพัฒนาผลิตภัณฑ์</t>
  </si>
  <si>
    <t>เรื่อง ผลการเสริมฤทธิ์ร่วมกันของสารสกัดจากเยื้อหุ้มเมล็ดฟักข้าวกับยาปฏิชีวนะในการยับยั้งเชื้อแบคทีเรียก่อโรค</t>
  </si>
  <si>
    <t>เรื่อง การวิเคราะห์แฮพโพลไทป์ของยีน NRG1 ของโรคลำไส้ใหญ่โป่งพองแต่กำเนิดในประชากรไทย</t>
  </si>
  <si>
    <t>ธีราวุฒิ</t>
  </si>
  <si>
    <t>ภู่สันติสัมพันธ์</t>
  </si>
  <si>
    <t>เรื่อง การเปรียบเทียบประสิทธิภาพบรรจุภัณฑ์สำหรับใส่ไข่ที่ทำจากผักตบชวาและต้นหญ้าขน</t>
  </si>
  <si>
    <t>เรื่อง การออกแบบและวิเคราะห์หาคุณค่าทางโภชนาการที่ได้รับจากเซลล์ยีสต์ไขมันสูง Yarrowia Lipolytica โดยใช้วิธีการวิเคราะห์พื้นผิวผลตอบ</t>
  </si>
  <si>
    <t>เบญจมาภรณ์</t>
  </si>
  <si>
    <t>วงศ์อนุ</t>
  </si>
  <si>
    <t>เรื่อง การวิเคราะห์คุณภาพการให้บริการของหน่วยงานคลัง คณะวิทยาศาสตร์ประยุกต์ มหาวิทยาลัยเทคโนโลยีพระจอมเกล้าพระนครเหนือ โดยใช้เครื่องมือประเมินคุณภาพ "SERQUAL"</t>
  </si>
  <si>
    <t>เพ็ญศรี</t>
  </si>
  <si>
    <t>ชื่นชม</t>
  </si>
  <si>
    <t>เรื่อง การวิเคราะห์ปัจจัยที่มีผลต่อผลสัมฤทธิ์ทางการเรียนของนิสิตนักศึกษา:กรณีศึกษา คณะวิทยาศาสตร์ประยุกต์</t>
  </si>
  <si>
    <t>คืนทุน</t>
  </si>
  <si>
    <t>ฐิตนนท์</t>
  </si>
  <si>
    <t>จารุโรจน์กีรติ</t>
  </si>
  <si>
    <t>วันทนา</t>
  </si>
  <si>
    <t>เกิดนิยม</t>
  </si>
  <si>
    <t>เรื่อง การศึกษาสารประกอบพืชสมุนไพรของสบู่เลือดในชั้นสกัดเมทิลีนคลอไรด์</t>
  </si>
  <si>
    <t>ปราณี</t>
  </si>
  <si>
    <t>ปรีชา</t>
  </si>
  <si>
    <t xml:space="preserve"> เรื่อง ช่วงความเชื่อมั่นสำหรับส่วนเบี่ยงเบนมาตรฐานของการแจกแจงปกติเมื่อทราบ</t>
  </si>
  <si>
    <t>เรื่อง วัสดุเชิงประกอบโทเมอร์พลาสติกสตาร์ชของแกลบข้าวและแบคทีเรียลเซลลูโลส</t>
  </si>
  <si>
    <t>เรื่อง ไฮโดรเจนจากแบคทีเรียลเซลลูโลสและพอลิอะคริลาไมด์สำหรับระบบนำส่งยาผ่านผิวหนัง</t>
  </si>
  <si>
    <t>เรื่อง การศึกษาการดูดซับสีย้อมแอนไอออนโดยใช้แกลบดัดแปรด้วยสารลดแรงตึงผิวที่มีประจุบวก</t>
  </si>
  <si>
    <t>เรื่อง สมการอิมพลัส์ผลต่างฮาฮ์นที่มีเงื่อนไขขอบผลต่างและอินทิกรัลแบบผสม</t>
  </si>
  <si>
    <t>เรื่อง วิธีเอ็กตราเกรเดียนแบบหนืดสำหรับปัญหาอสมการการแปรผันและปัญหาดุลยภาพวางนัยทั่วไปแบบแยก</t>
  </si>
  <si>
    <t>เรื่อง การจำแนกระยะโรคต้อกระจกจากภาพจอประสาทตาโดยใข้การประมวลภาพและการเรียนรู้ของเครื่องจักร</t>
  </si>
  <si>
    <t>เรื่อง การควบคุมเชิงสไลด์ดิ้งโหมดอันดับสองสำหรับระบบแม่เหล็กลอย</t>
  </si>
  <si>
    <t>เรื่อง การศึกษาโอกาสรอดชีวิตของผู้ที่ห้อยพระเครื่องจากการถูกยิงด้วยกระสุนปืนโดยระเบียบวิธีไฟไนต์เอลิเมนต์</t>
  </si>
  <si>
    <t>เรื่อง ผลของอุณหภูมิต่อประสิทธิภาพของกรดเอปราซิติกในตัวกรองเลือดที่ใช้ซ้ำ</t>
  </si>
  <si>
    <t>เรื่อง ผลิตภัณฑ์กระจับทอดกรอบและข้าวเกรียบกระจับ</t>
  </si>
  <si>
    <t>เรื่อง การสร้างระบบฐานภูมิศาสตร์สารสนเทศระบบก๊าซชีวภาพอุตสาหกรรมสกัดน้ำมันปาล์มระดับอุตสาหกรรม</t>
  </si>
  <si>
    <t>เรื่อง ผลของวิธีการเตรียมขั้นต้นต่อสมบัติทางเคมีกายภาพและประสาทสัมผัสของน้ำนมถั่วเหลือง และศึกษาของผลอุณหภูมิลมร้อนขาเข้าและปริมาณมอลโตเด็กซ์ทรินต่อสมบัติทางเคมีกายภาพของนมถั่วเหลืองผงโดยการอบแห้งแบบพ่นฝอย</t>
  </si>
  <si>
    <t>เรื่อง การออกซีไดร์ก๊าซไฮโดรเจนซัลไฟต์ในระบบกรองชีวภาพ Paracoccus pantotriphus</t>
  </si>
  <si>
    <t>เรื่อง แผนควบคุม DEWMA-TUKEY ปรับปรุงเพื่อตรวจจับการเปลี่ยนแปลงของกระบวน</t>
  </si>
  <si>
    <t>เรื่อง การตรวจจับการเปลี่ยนแปลงเมื่อกระบวนการมีการแจกแจงแบบอัตราส่วนสำหรับค่าเฉลี่ยปัวซงสองประชากรด้วยแผนภูมิควบคุมค่าเฉลี่ยเคลื่อนที่ถ่วงน้ำหนัก</t>
  </si>
  <si>
    <t>เรื่อง การเปรียบเทียบประสิทธิภาพแผนภูมิควบคุมค่าเฉลี่ยและแผนภูมิส่วนเบี่ยงเบนมาตรฐานสำหรับการแจกแจงแบบเบ้</t>
  </si>
  <si>
    <t>สรรพกิจกำจร</t>
  </si>
  <si>
    <t>เรื่อง การสกัดเจลิตินจากหนังและกระดูกปลาเพื่อการพัฒนาสูตรอาหาร</t>
  </si>
  <si>
    <t>เรื่อง การพัฒนาผลิตภัณฑ์เสริมอาหารสุขภาพโยเกิร์ตสมุนไพรใยอาหารสูงจากการหมักด้วยเชื้อจุลินทรีย์บริสุทธิ์</t>
  </si>
  <si>
    <t>เรื่อง การใช้ประโยชน์จากกะลาปาล์มเพื่อผลิตเป็นถ่านอัดก้อน</t>
  </si>
  <si>
    <t>เรื่อง ประสิทธิภาพการทำงานเชิงรุกของบุคลากรด้านการเงินและบัญชีของมหาวิทยาลัยเทคโนโลยีพระจอมเกล้าพระนครเหนือ</t>
  </si>
  <si>
    <t>เรื่อง การออกแบบกระบวนการผลิตไบโอดีเซลจากกรดไขมันปาล์มเมื่อใช้หอกลั่น</t>
  </si>
  <si>
    <t>ลิดา</t>
  </si>
  <si>
    <t>สิมะสาธิตกุล</t>
  </si>
  <si>
    <t>เรื่อง วิเคราะห์จัดลำดับความต้องการจำเป็นในการพัฒนาตนเองของบุคลากรในหน่วยงานคลังมหาวิทยาลัยเทคโนโลยีพระจอมเกล้าพระนครเหนือ</t>
  </si>
  <si>
    <t>วิลาวรรณ</t>
  </si>
  <si>
    <t>แซ่เจ็ง</t>
  </si>
  <si>
    <t>เรื่อง สมการเชิงอนุพันธ์เศษส่วนไม่เชิงเส้นลำดับรีมาน์-ลีวิลล์ฮาอามาร์ดร่วมกับเงื่อนไขขอบไม่เฉพาะที่</t>
  </si>
  <si>
    <t>เรื่อง การพัฒนาระบบกราดตรวจสำหรับการวัดสมบัติของคลื่นอัลตราซาวด์</t>
  </si>
  <si>
    <t>เรื่อง การอนุมานสำหรับค่าเฉลี่ยร่วมสำหรับการแจกแจงแบบเลขชี้กำลัง</t>
  </si>
  <si>
    <t>เรื่อง การอนุมานสำหรับค่าความแปรปรวนร่วมของการแจกแจงปกติ</t>
  </si>
  <si>
    <t>ทุนนักวิจัยทั่วไปครั้งที่ 2</t>
  </si>
  <si>
    <t>เรื่อง การควบคุมการติดตามตำแหน่งสัมพันธ์และการสอดคล้องแอตทิจูดแบบเหมาะที่สุดคงทนสำหรับยานอวกาศรองเดอส์วูโดยการป้อนเข้าแบบอิ่มตัว</t>
  </si>
  <si>
    <t>เรื่อง การศึกษาและพัฒนาแผ่นนำส่งยาผ่านผิวหนังภายใต้การใช้กระแสไฟฟ้าควบคุมอัตราการปลอปล่อยยาของไฮโดรเจลจากพอลิอะคริลาไมด์ผสมพอลิพีโรล</t>
  </si>
  <si>
    <t>เรื่อง สารสมุนไพรสกัดไล่ยุงที่ถูกห่อหุ้มในพอลิแลคติกแอซิดไมโครแคปซูล</t>
  </si>
  <si>
    <t>เรื่อง การผลิตแผ่นนำไฟฟ้าสองขั้วพอลิพรอพิลีนเคลือบทองแดงสำหรับเซลล์เชื้อเพลงแบบใช้เมทานอลโดยตรง</t>
  </si>
  <si>
    <t>เรื่อง การลดปริมาณแก๊สพิษที่เกิดจากกระบวนการไฮโดรไลซิสของตะกรันอะลูมิเนียม</t>
  </si>
  <si>
    <t>เรื่อง การจัดการขยะมูลฝอยและของเสียอันตรายกรณีศึกษา คณะวิทยาศาสตร์ประยุกต์ มหาวิทยาลัยเทคโนโลยีพระจอมเกล้าพระนครเหนือ</t>
  </si>
  <si>
    <t>เรื่อง การสังเคราะห์อนุภาคซิลเวอร์นาโนสำหรับประยุกต์ใช้ในเครื่องสำอาง</t>
  </si>
  <si>
    <t>เรื่อง การสังเคราะห์และศึกษาคุณสมบัติโลหะออกไซด์โดยใช้สารสกัดจากธรรมชาติเพื่อเตรียมเป็นขั้วไฟฟ้าสำหรับการผลิตไฮโดรเจนโดยการแยกน้ำด้วยแสงอาทิตย์</t>
  </si>
  <si>
    <t>วรนุช</t>
  </si>
  <si>
    <t>สมส่งกุล</t>
  </si>
  <si>
    <t>เรื่อง วัสดุเชิงประกอบชีวภาพจากพอลิแลคติกแอซิดและผงไม้</t>
  </si>
  <si>
    <t>เรื่อง การจัดการของเสียและสารเคมีอันตรายในห้องปฏิบัติการ</t>
  </si>
  <si>
    <t>สมภล</t>
  </si>
  <si>
    <t>ผาสิน</t>
  </si>
  <si>
    <t>เรื่อง การสกัดแอสตาแซนทีนจากเปลือกกุ้งและการห่อหุ้มแอสตาแซนทีนด้วยเจลาตินเพื่อการประยุกต์ใช้ในอาหาร</t>
  </si>
  <si>
    <t>เรื่อง การหาภาวะที่เหมาะสมของการสกัดน้ำมันและเบต้า-แคโรทีนจากเปลือกแครอทด้วยวิธีคาร์บอนไดออกไซด์วิกฤตยิ่งยวด</t>
  </si>
  <si>
    <t>เรื่อง การปรับปรุงคุณภาพผลพริกชี้ฟ้ามันเขียวภายหลังการเก็บเกี่ยวโดยการฉายรังสีอัลตราไวโอเลต-ซี</t>
  </si>
  <si>
    <t>เรื่อง การสังเคราะห์พอลิไฮดรอกซีอัลคาโนเอตที่มีหมู่แทนที่ในหน่วยพอลิเมอร์สายยาวปานกลางจากกรดไขมันโดยแบคทีเรีย Pseudononas putida</t>
  </si>
  <si>
    <t>เรื่อง ห้องปฏิบัติการบนซิพประสิทธิภาพสูง</t>
  </si>
  <si>
    <t>เรื่อง การศึกษาอุณหภูมิอิเล็กตรอนของพลาสมาเจ็ทที่ความดันบรรยากาศภายใต้สภาวะก๊าซอาร์กอนด้วยวิธีการวิเคราะห์สเปกตรัมทางแสง</t>
  </si>
  <si>
    <t>ปณกมล</t>
  </si>
  <si>
    <t>ทองหล่อ</t>
  </si>
  <si>
    <t>เรื่อง สารป้องกันแสงยูวี</t>
  </si>
  <si>
    <t>เรื่อง ศึกษาการเปลี่ยนแปลงเฟสและโครงสร้างจุลภาคของแบเรียมไททาเนตด้วยวิธีการให้ความร้อน</t>
  </si>
  <si>
    <t>สุดารัตน์</t>
  </si>
  <si>
    <t>สุนทโรภาส</t>
  </si>
  <si>
    <t>เรื่อง ฤทธิ์ต้านอนุมูลอิสระและการวิเคราะห์ปริมาณฟีนอลิกและฟลาโวนอยด์ของสารสกัดจากสมุนไพรไทยพื้นบ้านสะค้านและมะแขว่นในเขตท้องถิ่นภาคเหนือ</t>
  </si>
  <si>
    <t>เรื่อง การออกแบบและพัฒนาระบบเฝ้าระวังการให้น้ำเกลือ</t>
  </si>
  <si>
    <t>เรื่อง การสกัดสารสำคัญที่มีฤทธิ์ในการยับยั้งการเจริญเติบโตของเชื้อแบคทีเรียที่ก่อให้เกิดการติดเชื้อบริเวณผิวหนังจากไพลและกระชาย และการพัฒนาตำรับเจลป้องกันแผลติดเชื้อ</t>
  </si>
  <si>
    <t>เรื่อง ประสิทธิภาพของเชื้อเพลิงอัดแท่งที่ผลิตจากกากมะพร้าว</t>
  </si>
  <si>
    <t>เรื่อง คุณสมบัติและประสิทธิภาพของเชื้อเพลิงชีวมวลอัดแท่งที่ผลิตจากกากเศษวัสดุเหลือใช้จากการเกษตร</t>
  </si>
  <si>
    <t>เรื่อง การประยุกต์ใช้สารจับกันเป็นก้อนเพื่อประสิทธิภาพการดูดซึมน้ำของชีวมวลสำหรับการพัฒนาผลิตภัณฑ์ที่รองนอนสัตว์เลี้ยง</t>
  </si>
  <si>
    <t>เรื่อง การทำเหมืองข้อมูลเซ็นเซอร์ในสมาร์ทโฟนสำหรับตรวจจับการล้มแบบทันที</t>
  </si>
  <si>
    <t>ลือพล</t>
  </si>
  <si>
    <t>พิพานเมฆาภรณ์</t>
  </si>
  <si>
    <t>เรื่อง รูปแบบการออกแบบของการเรียนรู้ด้วยเกมดิจิทัลสำหรับการเรียนรู้คำภาษาไทย</t>
  </si>
  <si>
    <t>เรื่อง การรู้จำกิจกรรมมนุษย์โดยการใข้ข้อมูลความเร่งแบบสามแกนจากสมาร์ทโฟนและการเรียนรู้แบบองค์รวมสำหรับการดูแลสุขภาพผู้สูงอายุแบบทางไกล</t>
  </si>
  <si>
    <t>เรื่อง ผลคูณเทนเซอร์ของกราฟเคเลย์ยูนิตผลบวกของกรุปวัฏจักร</t>
  </si>
  <si>
    <t>เรื่อง ทฤษฎีจุดตรึงร่วมในปริภูมิเมตริกมอดุลาร์</t>
  </si>
  <si>
    <t>เรื่อง สมการเชิงอนุพันธ์เศษส่วนอิมพลัสส์โดยอนุพันธ์เศษส่วนที่ครอบคลุมรีมันน์ลูวิลล์และคาพูโต</t>
  </si>
  <si>
    <t>เรื่อง สมการเชิงอนุพันธ์เศษส่วนฮิลเฟอร์-ฮาดามาร์ดร่วมกับเงื่อนไขค่าขอบ</t>
  </si>
  <si>
    <t>เรื่อง ตัวประมาณอัตราส่วนของค่าเฉลี่ยประชากรที่ปรับปรุงใหม่โดยใช้การแปลงตัวแปรในการสุ่มตัวอย่างแบบ 2 ครั้ง</t>
  </si>
  <si>
    <t>อุไรวรรณ</t>
  </si>
  <si>
    <t>เจริญกีรติกุล</t>
  </si>
  <si>
    <t>เรื่อง ความแกร่งของแผนภูมิควบคุม GWMA Signed - rank สำหรับตรวจจับการเปลี่ยนแปลงกระบวนการผลิตแบบเบ้</t>
  </si>
  <si>
    <t>เรื่อง ความไวในการตอบสนองของแผนภูมิควบคุม EWMA สำหรับตรวจจับตัวแบบทวินามที่มีศูนย์เฟ้อ</t>
  </si>
  <si>
    <t>เรื่อง การเปรียบเทียบความแกร่งของแผนภูมิควบคุมค่าเฉลี่ยเคลื่อนที่ถ่วงน้ำหนักแบบเอ็กซ์โปเนนเซียลวิธีฟัซซี่และแผนภูมิควบคุมค่าเฉลี่ยวิธีฟัซซี่</t>
  </si>
  <si>
    <t>เรื่อง แผนภูมิควบคุมค่าเฉลี่ยและพิสัยวิธีฟัซซี่สำหรับข้อมูลที่มีการจากแจงปกติ</t>
  </si>
  <si>
    <t>บุญกอง</t>
  </si>
  <si>
    <t>ทะกลโยธิน</t>
  </si>
  <si>
    <t>เรื่อง แผนควบคุมค่าเฉลี่ยเคลื่อนที่เพื่อตรวจจับการเปลี่ยนแปลงค่าเฉลี่ยของกระบวนการสำหรับตัวแบบ INAR(1) ภายใต้การแจกแจงปัวซงที่มีศูนย์เฟ้อ</t>
  </si>
  <si>
    <t>เรื่อง ช่วงความเชื่อมั่นทั่วไปสำหรับความแปรปรวนและผลต่างของความแปรปรวนของการแจกแจงเลขชี้กำลัง</t>
  </si>
  <si>
    <t>เรื่อง ช่วงความเชื่อมั่นสำหรับความแปรปรวนร่วมของการแจกแจงแบบเลขชี้กำลังโดยวิธี Adjusted MOVER</t>
  </si>
  <si>
    <t>เรื่อง เจตคติ ความพึงพอใจและการใช้ประโยชน์สื่อสังคมออนไลน์เพื่อการประชาสัมพันธ์ของนักศึกษาและบุคลากร คณะวิทยาศาสตร์ประยุกต์ มหาวิทยาลัยเทคโนโลยีพระจอมเกล้าพระนครเหนือ</t>
  </si>
  <si>
    <t>ปิยะวัฒน์</t>
  </si>
  <si>
    <t>สุธา</t>
  </si>
  <si>
    <t>เรื่อง สมรรถนะในการปฏิบัติงานของบุคลากรที่ปฏิบัติงานด้านการเงินและบัญชีของมหาวิทยาลัยเทคโนโลยีพระจอมเกล้าพระนครเหนือ</t>
  </si>
  <si>
    <t>วิกานดา</t>
  </si>
  <si>
    <t>ผาพันธ์</t>
  </si>
  <si>
    <t>เรื่อง ความพึงพอใจของสถานประกอบการที่มีต่อคุณลักษณะที่พึงประสงค์ของนักศึกษาฝึกงาน: กรณีศึกษานักศึกษาภาควิชาสถิติประยุกต์ คณะวิทยาศาสตร์ประยุกต์ มหาวิทยาลัยเทคโนโลยีพระจอมเกล้าพระนครเหนือ</t>
  </si>
  <si>
    <t>ละอองแก้ว</t>
  </si>
  <si>
    <t>เรื่อง การศึกษาปัญหา ความคาดหวัง ความต้องการและความพึงพอใจต่อการใช้เทคโนโลยีการศึกษาของบุคลากรและนักศึกษา: กรณีศึกษาคณะวิทยาศาสตร์ประยุกต์</t>
  </si>
  <si>
    <t>นาคขำ</t>
  </si>
  <si>
    <t>หมายเหตุ</t>
  </si>
  <si>
    <t>/คืนทุน</t>
  </si>
  <si>
    <t>เรื่อง การสังเคราะห์พอลิไฮดรอกซีอัลคาโนเอตที่มีหมู่แทนที่ในหน่วยพอลิเมอร์สายยาวปานกลางจากน้ำมันปาล์มโดยแบคทีเรีย Pseudomanas aeruginosa</t>
  </si>
  <si>
    <t>ปิดทุน</t>
  </si>
  <si>
    <t>ยังไม่ปิดทุน</t>
  </si>
  <si>
    <t>เรื่อง การสังเคราะห์และพิสูจน์เอกลักษณ์ของตัวเร่งปฏิกิริยาด้วยแสง                                   เพื่อใช้ในการบำบัดน้ำเสีย</t>
  </si>
  <si>
    <t>ทุนพัฒนานักวิจัย (เมธีวิจัย สกว.)</t>
  </si>
  <si>
    <t>ทุนนักวิจัยทั่วไป ครั้งที่ 2</t>
  </si>
  <si>
    <t>ตารางขอทุนวิจัยคณะวิทยาศาสตร์ประยุกต์ ประจำปีงบประมาณ พ.ศ. 2555</t>
  </si>
  <si>
    <t>ตารางขอทุนวิจัยคณะวิทยาศาสตร์ประยุกต์ ประจำปีงบประมาณ พ.ศ. 2556</t>
  </si>
  <si>
    <t>ตารางขอทุนวิจัยคณะวิทยาศาสตร์ประยุกต์ ประจำปีงบประมาณ พ.ศ. 2561</t>
  </si>
  <si>
    <t>ตารางขอทุนวิจัยคณะวิทยาศาสตร์ประยุกต์ ประจำปีงบประมาณ พ.ศ. 2560</t>
  </si>
  <si>
    <t>ตารางขอทุนวิจัยคณะวิทยาศาสตร์ประยุกต์ ประจำปีงบประมาณ พ.ศ. 2559</t>
  </si>
  <si>
    <t>ตารางขอทุนวิจัยคณะวิทยาศาสตร์ประยุกต์ ประจำปีงบประมาณ พ.ศ. 2558</t>
  </si>
  <si>
    <t>ตารางขอทุนวิจัยคณะวิทยาศาสตร์ประยุกต์ ประจำปีงบประมาณ พ.ศ. 2557</t>
  </si>
  <si>
    <t>ธีรวุฒิ</t>
  </si>
  <si>
    <t>สำนักงานคณบดี</t>
  </si>
  <si>
    <t>ภาควิชาเทคโนโลยีชีวภาพ</t>
  </si>
  <si>
    <t>ภาควิชาสถิติประยุกต์</t>
  </si>
  <si>
    <t>MA</t>
  </si>
  <si>
    <t>DO</t>
  </si>
  <si>
    <t>IMI</t>
  </si>
  <si>
    <t>IC</t>
  </si>
  <si>
    <t>AFET</t>
  </si>
  <si>
    <t>AS</t>
  </si>
  <si>
    <t>CS</t>
  </si>
  <si>
    <t>BT</t>
  </si>
  <si>
    <t>หน่วยงาน</t>
  </si>
  <si>
    <t>ภาควิชาเคมีอุตสาหกรรม</t>
  </si>
  <si>
    <t>ภาควิชาวิทยาการคอมพิวเตอร์และสารสนเทศ</t>
  </si>
  <si>
    <t>ภาควิชาคณิตศาสตร์</t>
  </si>
  <si>
    <t>ภาควิชาฟิสิกส์อุตสาหกรรมและอุปกรณ์การแพทย์</t>
  </si>
  <si>
    <t>ภาควิชาเทคโนโลยีอุตสาหกรรมเกษตรฯ</t>
  </si>
  <si>
    <t xml:space="preserve"> </t>
  </si>
  <si>
    <t>จำนวน</t>
  </si>
  <si>
    <t>งบประมาณ</t>
  </si>
  <si>
    <t>เรื่อง บริเวณวงรีความเชื่อมั่นเชิงเส้นกำกับสำหรับการแจกแจงความยาวเอนเอียงอินเวอร์สเกาส์เซียน</t>
  </si>
  <si>
    <t>นำไปใช้ประโยชน์</t>
  </si>
  <si>
    <t>กับบริษัทฟอร์คอนซิลแลนท์ จำกัด</t>
  </si>
  <si>
    <t>เรื่อง หน้ากากอนามัยแซนด์วิชด้วยแผ่นเส้นใยนาโน</t>
  </si>
  <si>
    <t>ผศ. ดร.</t>
  </si>
  <si>
    <t xml:space="preserve">ได้รับการตอบรับตีพิมพ์ในวารสารวิชาการพระจอมเกล้าพระนครเหนือ ปีที่ 29 ฉบับที่ 2 เมษายน - กรกฎาคม 2562 </t>
  </si>
  <si>
    <t xml:space="preserve">ตีพิมพ์ในวารสาร MATTER: International Journal of Science and Technology ฉบับที่ 4(3) ปี 2018 หน้าที่ 125 – 137 </t>
  </si>
  <si>
    <t xml:space="preserve">นำผลงานไปใช้ประโยชน์ใน วิทยาลัยประมงสมุทรสาคร </t>
  </si>
  <si>
    <t>ตีพิมพ์</t>
  </si>
  <si>
    <t>นำผลงานไปเสนอ</t>
  </si>
  <si>
    <t xml:space="preserve">ตีพิมพ์ในวารสาร Advances and Applications in Statistics Volume 53, Issue 4, Pages                     313 - 324 (October 2018)  </t>
  </si>
  <si>
    <t>ได้รับการตอบรับเพื่อตีพิมพ์ในวารสาร Thai Journal of Mathematics Vol 17 (2019) Special Issue: Annual Meeting in Mathematics 2018 Page : 200-212</t>
  </si>
  <si>
    <t xml:space="preserve">The 11th Biomedical Engineering International Conference (BMEiCON2018) in Chiang Mai, Thailand, during November 21 - 24, 2018. </t>
  </si>
  <si>
    <t>ปิดทุนแล้ว</t>
  </si>
  <si>
    <t>รวมเบิก</t>
  </si>
  <si>
    <t>ตีพิมพ์ ในวารสาร</t>
  </si>
  <si>
    <t>ตีพิมพ์ในวารสารวิทยาศาสตร์ประยุกต์ Vol19.No.1 2019</t>
  </si>
  <si>
    <t>นายสัมพันธ์ สร้อยกล่อม</t>
  </si>
  <si>
    <t>ดร.วรนุช สมส่งกุล</t>
  </si>
  <si>
    <t>ผศ.ดร.ปริญญา คงพรม</t>
  </si>
  <si>
    <t>ผศ.ดร.ณิชาภัทร พัฒนะรพีเลิศ</t>
  </si>
  <si>
    <t>ผศ.ดร.อนุชิต จิตพัฒนกุล</t>
  </si>
  <si>
    <t>ผศ.ดร.กนกวรรณ สิทธิเถกิงเกียรติ</t>
  </si>
  <si>
    <t>ผศ.ดร.เสกสรร สิริทรัพย์ทวี</t>
  </si>
  <si>
    <t>ผศ.ดร.สุรัตนา สังข์หนุน</t>
  </si>
  <si>
    <t>ผศ.ดร.เกษรารัตน์ อักษรรัตน์</t>
  </si>
  <si>
    <t>ผศ.ดร.สุเมธ อ่ำชิต</t>
  </si>
  <si>
    <t>ผศ.ดร.ณัฐสุดา สุมณศิริ</t>
  </si>
  <si>
    <t>ดร.สุธีรา ขันทพันธ์</t>
  </si>
  <si>
    <t xml:space="preserve">นางสาวศิริอร บุญญวนิช
</t>
  </si>
  <si>
    <t>ดร.วิกานดา ผาพันธ์</t>
  </si>
  <si>
    <t>ผศ.ดร.สุวิมล พันธ์แย้ม</t>
  </si>
  <si>
    <t>ผศ.ดร.นวลพรรณ ลอว์สัน</t>
  </si>
  <si>
    <t>ดร.กอบกุล รวีสวัสดิ์</t>
  </si>
  <si>
    <t>ผศ.ดร.สุภารัตน์ นิวิศพงศ์</t>
  </si>
  <si>
    <t>รศ.ดร.สอาด นิวิศพงศ์</t>
  </si>
  <si>
    <t>ดร.คณิตา เพ็ชรัตน์</t>
  </si>
  <si>
    <t>รศ.ดร.ยุพาภรณ์ อารีย์พงษ์</t>
  </si>
  <si>
    <t>รศ.ดร.เสาวณิต สุขภารังษี</t>
  </si>
  <si>
    <t>ผศ.ดร.ปรวัฒน์ วิสูตรศักดิ์</t>
  </si>
  <si>
    <t>ผศ.ธานุวัฒน์ ลาภตันศุภผล</t>
  </si>
  <si>
    <t>ผศ.ดร.สุมนต์ทิพย์ คงตันจันทร์ฟัก</t>
  </si>
  <si>
    <t>การนำมาตรฐาน มอก. 2677 มาจัดการของเสียอันตรายในห้องปฏิบัติการวิจัยทางเคมีอุตสาหกรรม</t>
  </si>
  <si>
    <t>การสังเคราะห์และศึกษาคุณสมบัติสารเพอรอฟสไกต์ที่มีการเจือปนด้วยโลหะเพื่อเตรียมเป็นขั้วไฟฟ้าสำหรับตัวเก็บประจุไฟฟ้าเคมียิ่งยวด</t>
  </si>
  <si>
    <t xml:space="preserve">ประสิทธิภาพของเจลล้างมือผสมสารสกัดจากพืชสมุนไพรและน้ำมันหอมระเหยที่มีผลต่อการยับยั้งการเจริญเติบโตของเชื้อแบคทีเรียก่อโรค </t>
  </si>
  <si>
    <t xml:space="preserve">การศึกษาความเป็นไปได้ของกระบวนการผลิตน้ำมันดีเซลชีวภาพสังเคราะห์จากน้ำมันปาล์มที่ใช้แล้วและกรดไขมันปาล์ม </t>
  </si>
  <si>
    <t>การแตกตัวน้ำมันหนักจากขยะพลาสติกด้วยตัวเร่งปฏิกิริยาในปฏิกรณ์ฟลูอิไดซ์เบดชนิดไหลเวียนขึ้นแบบผนังเอียงโดยการจำลองแบบพลศาสตร์ของไหลเชิงคำนวณ</t>
  </si>
  <si>
    <t xml:space="preserve">การวิเคราะห์หาสาเหตุการเกิดสารปนเปื้อนในกระบวนการชุบโครเมียมด้วยไฟฟ้า </t>
  </si>
  <si>
    <t xml:space="preserve">แบบจำลองทางคณิตศาสตร์เพื่อศึกษาโรคไข้รูมาติกหลังการติดเชื้อสเตรปโตคอคคัสกรุ๊ปเอ </t>
  </si>
  <si>
    <t xml:space="preserve">การจำแนกรูปแบบการเดินด้วยข้อมูลจากอุปกรณ์สวมใส่ </t>
  </si>
  <si>
    <t>อัลกอริทึมสำหรับปัญหาสมดุลแยก</t>
  </si>
  <si>
    <t>ผลเฉลยเชิงวิเคราะห์ของปัญหา Magnetohydrodynamics (MHD) Fluid Flow ด้วยวิธีเวฟเล็ตและเชบีเชฟ</t>
  </si>
  <si>
    <r>
      <t>คำตอบแม่นตรงของสมการ Jaulent-Miodek มิติ (2+1) โดยใช้วิธีการกระจาย (</t>
    </r>
    <r>
      <rPr>
        <i/>
        <sz val="16"/>
        <color theme="1"/>
        <rFont val="TH SarabunPSK"/>
        <family val="2"/>
      </rPr>
      <t>G'/G</t>
    </r>
    <r>
      <rPr>
        <vertAlign val="superscript"/>
        <sz val="16"/>
        <color theme="1"/>
        <rFont val="TH SarabunPSK"/>
        <family val="2"/>
      </rPr>
      <t>2</t>
    </r>
    <r>
      <rPr>
        <sz val="16"/>
        <color theme="1"/>
        <rFont val="TH SarabunPSK"/>
        <family val="2"/>
      </rPr>
      <t xml:space="preserve">) และวิธี Jacobi Elliptic Equation  </t>
    </r>
  </si>
  <si>
    <t>ผลเฉลยเชิงตัวเลขของสมการเบอร์เกอร์สองมิติแบบปรับปรุง</t>
  </si>
  <si>
    <t xml:space="preserve">การเป็นกราฟระนาบของผลคูณเทนเซอร์ของกราฟเคเลย์
ยูนิตผลบวกของกรุปวัฏจักร 
</t>
  </si>
  <si>
    <t>การวัดทางเคมีไฟฟ้าสำหรับเซ็นเซอร์ชนิดกราฟีนโดยใช้เครื่องมือตรวจวัดทางเคมีไฟฟ้าขนาดพกพาราคาต่ำ</t>
  </si>
  <si>
    <t>เครื่องวัดสัญญานคลื่นไฟฟ้าบนผิวกล้ามเนื้อแบบหลายช่องการวัดสำหรับการเฝ้าระวังภาวะตะคริวในขณะฟอกเลือดด้วยเครื่องไตเทียม</t>
  </si>
  <si>
    <t xml:space="preserve">การสังเคราะห์อนุภาคนาโนซิงค์ออกไซด์เพื่อต้านทานแบคทีเรียของผ้าที่ใช้ในอุตสาหกรรมยานยนต์ </t>
  </si>
  <si>
    <t xml:space="preserve">การพัฒนาเครื่องวิเคราะห์เครื่องให้สารละลายทางหลอดเลือดดำแบบหน้าจอสัมผัส </t>
  </si>
  <si>
    <t xml:space="preserve">ผลของอุณหภูมิต่อประสิทธิภาพของกรดเปอราซิติกในการกำจัดเชื้อราในตัวกรองเลือดที่ใช้ซ้ำ </t>
  </si>
  <si>
    <t xml:space="preserve">การศึกษาสูตรของสารเคลือบบริโภคได้และระยะเวลาการเก็บรักษาต่อสมบัติทางกายภาพคุณลักษณะทางประสาทสัมผัส และจุลชีววิทยาของมะละกอสดตัดแต่ง </t>
  </si>
  <si>
    <t xml:space="preserve">การบำบัดของเสียกลีเซอรอลด้วยเทคโนโลยีเซลล์เชื้อเพลิงจุลินทรีย์ </t>
  </si>
  <si>
    <t>ผลของการใช้โอ๊ตมีลเพื่อทดแทนไขมันที่มีต่อคุณลักษณะทางกายภาพและการยอมรับทางประสาทสัมผัสในน้ำสลัดมายองเนส</t>
  </si>
  <si>
    <t>การผลิตคุกกี้เนยเสริมแคลเซียมจากกระดูกปลาทูน่า</t>
  </si>
  <si>
    <t xml:space="preserve">ผลของอาหารเสริมโปรตีนต่อการผลิตสารออกฤทธิ์ทางยาของเห็ดถั่งเช่าสีทอง 
</t>
  </si>
  <si>
    <t xml:space="preserve">การศึกษาศักยภาพการผลิตก๊าซชีวภาพเชิงภาคสนามของโรงงานอุตสาหกรรมแป้งมันสำปะหลังและเอทานอล 
</t>
  </si>
  <si>
    <t xml:space="preserve">การประมาณค่าช่วงความเชื่อมั่นวงรีเชิงเส้นกำกับสำหรับแจกแจงอินเวอร์สเกาส์เซียนที่มีการปรับเปลี่ยนพารามิเตอร์ใหม่ 
</t>
  </si>
  <si>
    <t xml:space="preserve">ตัวประมาณค่าความแปรปรวนตัวใหม่สำหรับการสุ่มตัวอย่างด้วยความน่าจะเป็นไม่เท่ากันแบบไม่ใส่คืนในกรณีที่มีข้อมูลไม่ตอบสนอง </t>
  </si>
  <si>
    <t xml:space="preserve">การประมาณค่าความเสียหายสำหรับข้อมูลที่มีการแจกแจงแบบเอ็กซ์โพเนนเชียลไวบูลล์ภายใต้สัญญาประกันภัยแบบกำหนดความรับผิดส่วนแรก </t>
  </si>
  <si>
    <t xml:space="preserve">ช่วงความเชื่อมั่นสำหรับผลต่างของซิกนอลทูนอยส์เรโชของการแจกแจงแบบแกมมา </t>
  </si>
  <si>
    <t xml:space="preserve">ช่วงความเชื่อมั่นสำหรับผลต่างของซิกนอลทูนอยส์เรโชของการแจกแจงแบบล็อกนอร์มอล </t>
  </si>
  <si>
    <t xml:space="preserve">ประสิทธิภาพของแผนภูมิควบคุมค่าเฉลี่ยเคลื่อนที่สำหรับกระบวนการปัวซงที่มีการตัดปลายศูนย์ เมื่อพารามิเตอร์มีการเปลี่ยนแปลง </t>
  </si>
  <si>
    <t xml:space="preserve">สูตรสำเร็จค่าความยาวรันเฉลี่ยของแผนภูมิควบคุมค่าเฉลี่ยเคลื่อนที่ถ่วงน้ำหนักแบบเลขชี้กำลังสำหรับตัวแบบถดถอยในตัวกับตัวแปรภายนอก </t>
  </si>
  <si>
    <t xml:space="preserve">ความแกร่งของการใช้ FIR ของแผนภูมิควบคุมรวมสะสมเพื่อเพิ่มประสิทธิภาพในการตรวจจับการเปลี่ยนแปลงความผันแปรของกระบวนการ </t>
  </si>
  <si>
    <t xml:space="preserve">การเปรียบเทียบตัวแบบการพยากรณ์ราคาหุ้นโดยใช้ตัวแบบอารีมาและจีวีเอ็ม </t>
  </si>
  <si>
    <t xml:space="preserve">การทำสตรีมคอมแพ็คชันในการเรนเดอร์ข้อมูลเชิงปริมาตรทางการแพทย์ด้วยวิธีฮิสโตแกรมพีระมิด </t>
  </si>
  <si>
    <t xml:space="preserve">ประสิทธิภาพและคุณสมบัติของเชื้อเพลิงชีวมวลอัดแท่งจากเศษวัสดุเหลือใช้ทางธรรมชาติที่มีขนาดต่ำกว่า 500 ไมครอน </t>
  </si>
  <si>
    <t xml:space="preserve">การพัฒนาผลิตภัณฑ์เค้กโยเกิร์ตโดยการทดแทนส่วนของครีมชีสด้วยโยเกิร์ตโพรไบโอติคส์เพื่อสุขภาพ </t>
  </si>
  <si>
    <t>ประสิทธิภาพของถ่านอัดแท่งทำจากผักตบชวา</t>
  </si>
  <si>
    <t xml:space="preserve">ความสัมพันธ์ระหว่างความรับผิดชอบในวิชาชีพกับคุณภาพในการทำงานของบุคลากรทางด้านการเงินและบัญชีในมหาวิทยาลัยเทคโนโลยีพระจอมเกล้าพระนครเหนือ </t>
  </si>
  <si>
    <t xml:space="preserve">การประมาณค่าความยาววิ่งเฉลี่ยโดยวิธีสมการปริพันธ์เชิงตัวเลขของแผนภูมิควบคุม CUSUM สำหรับตัวกระบวนการ SARIMA(P,D,Q)L </t>
  </si>
  <si>
    <t xml:space="preserve">นางสาวสมภล ผาสิน
</t>
  </si>
  <si>
    <t xml:space="preserve">ดร.ชัชลิฎา บุญพะเนียด
</t>
  </si>
  <si>
    <t xml:space="preserve">ผศ.ดร.คมสันต์ เนียมเปรม
</t>
  </si>
  <si>
    <t xml:space="preserve">ผศ.ดร.ธีระ ลีอุดมวงษ์
</t>
  </si>
  <si>
    <t xml:space="preserve">ผศ.ดร.วันทนา เกิดนิยม
</t>
  </si>
  <si>
    <t xml:space="preserve">ผศ.วรวิทย์ รัตนวงษ์
</t>
  </si>
  <si>
    <t>ดร.สุธิดา อัครชนียากร</t>
  </si>
  <si>
    <t>ศ.ดร.นิพนธ์ พิสุทธิ์ไพศาล</t>
  </si>
  <si>
    <t xml:space="preserve">รศ.ไพรินทร์ กปิลานนท์
</t>
  </si>
  <si>
    <t>ผศ.ดร.เพ็ญจา จิตจำรูญโชคไชย</t>
  </si>
  <si>
    <t xml:space="preserve">นางสาวเพ็ญศรี ชื่นชม
</t>
  </si>
  <si>
    <t>ผศ.ดร.ลิดา สิมะสาธิตกุล</t>
  </si>
  <si>
    <t>ได้เผยแพร่ผลงานในที่ประชุมวิชาการระดับนานาชาติ ECTI DAMT &amp; NCON 2019 Nan, Thailand from 30th January to 2nd February 2019</t>
  </si>
  <si>
    <t>ตีพิมพ์ในวารสารวิชาการนานาชาติ International Journal of Food and Nutritional Sciences. 2019,8(2): 8-16</t>
  </si>
  <si>
    <t>เรื่อง การสกัดและสมบัติของเพคตินจากกากพืชผักและผลไม้เหลือทิ้งเพื่อการพัฒนาสูตรอาหาร</t>
  </si>
  <si>
    <t>เรื่อง การวิเคราะห์อันตรายทางความร้อนขั้นต้นของไฮโดรเจนเปอร์ออกไซด์โดยใช้ดิฟเฟอเรนเชียลสแกนนิงแคลลอริมิเตอร์</t>
  </si>
  <si>
    <t xml:space="preserve">ได้ตีพิมพ์ผลงานและได้เผยแพร่ผลงานในที่ประชุมวิชาการระดับนานาชาติ  Pure and Applied Chemistry International Conference 2019 (PACCON 2019) February 7 - 8, 2019  BITEC, Bangkok, Thailand </t>
  </si>
  <si>
    <r>
      <t>เผยแพร่ผลงานในที่ประชุมวิชาการระดับนานาชาติ</t>
    </r>
    <r>
      <rPr>
        <sz val="14"/>
        <color theme="1"/>
        <rFont val="Angsana New"/>
        <family val="1"/>
      </rPr>
      <t xml:space="preserve"> </t>
    </r>
    <r>
      <rPr>
        <sz val="16"/>
        <color theme="1"/>
        <rFont val="TH SarabunPSK"/>
        <family val="2"/>
      </rPr>
      <t xml:space="preserve"> Pure and Applied Chemistry International Conference 2018 (PACCON 2018)</t>
    </r>
    <r>
      <rPr>
        <sz val="14"/>
        <color theme="1"/>
        <rFont val="Angsana New"/>
        <family val="1"/>
      </rPr>
      <t xml:space="preserve"> </t>
    </r>
    <r>
      <rPr>
        <sz val="16"/>
        <color theme="1"/>
        <rFont val="TH SarabunPSK"/>
        <family val="2"/>
      </rPr>
      <t>February 7-9, 2018</t>
    </r>
  </si>
  <si>
    <t xml:space="preserve">การตอบรับเพื่อตีพิมพ์ในวารสารวิชาการพระจอมเกล้าพระนครเหนือ ปีที่ 29 ฉบับที่ 2 เมษายน – มิถุนายน 2562  หน้า 292-301 </t>
  </si>
  <si>
    <t xml:space="preserve">ได้รับการตอบรับเพื่อตีพิมพ์ในวารสาร วารสารคณิตศาสตร์ MJ – MATh  63 (969) กันยายน – ธันวาคม 2561     </t>
  </si>
  <si>
    <t xml:space="preserve"> Research Journal – Rajamangala University of Technology Thanyaburi Vol 18 No 1 (2019): January-June</t>
  </si>
  <si>
    <t>ประชุมวิชาการ The 5th EnvironmentAsia International Conference Transboundary Environmental Nexus: From Local to Regional Perspectives Convention Center, The Empress Hotel, Chiang Mai, Thailand 13 - 15 June 2019</t>
  </si>
  <si>
    <t>คณะวิทยาศาสตร์ประยุกต์ มหาวิทยาลัยเทคโนโลยีพระจอมเกล้าพระนครเหนือ</t>
  </si>
  <si>
    <r>
      <t>ประชุมวิชาการระดับนานาชาติ</t>
    </r>
    <r>
      <rPr>
        <sz val="14"/>
        <color theme="1"/>
        <rFont val="Angsana New"/>
        <family val="1"/>
      </rPr>
      <t xml:space="preserve"> </t>
    </r>
    <r>
      <rPr>
        <sz val="16"/>
        <color theme="1"/>
        <rFont val="TH SarabunPSK"/>
        <family val="2"/>
      </rPr>
      <t xml:space="preserve"> the</t>
    </r>
    <r>
      <rPr>
        <vertAlign val="superscript"/>
        <sz val="16"/>
        <color theme="1"/>
        <rFont val="TH SarabunPSK"/>
        <family val="2"/>
      </rPr>
      <t xml:space="preserve"> 5</t>
    </r>
    <r>
      <rPr>
        <sz val="16"/>
        <color theme="1"/>
        <rFont val="TH SarabunPSK"/>
        <family val="2"/>
      </rPr>
      <t>th International Conference on Engineering, Applied Sciences and Technology (ICEAST 2019) 2-5 July 2019, Luang Prabang, Laos</t>
    </r>
  </si>
  <si>
    <t>วิทยาลัยประมงสมุทรสาคร</t>
  </si>
  <si>
    <t>Advances and Applications in Statistics
Volume 57,Number 1,2019, Pages 41-59 (June 2019)</t>
  </si>
  <si>
    <t>Thailand Statistician Vol 18 No 1 (2020) January</t>
  </si>
  <si>
    <t>โรงเรียนลำพะอง (ในกิจจกรรมออกค่ายลูกเสือของนักเรียน)การใช้ประโยชน์ในเชิงสาธารณะ (การพัฒนาคุณภาพชีวิตและเศรษฐกิจของประชาชน)</t>
  </si>
  <si>
    <t>Mathematics, Volume 7, Issue 8 (August 2019)</t>
  </si>
  <si>
    <t>The Journal of Industrial Technology, Vol, 15 No.2 May-August 2019</t>
  </si>
  <si>
    <t>(The Journal of King Mongkut's University of Technology North Bangkok) ปีที่ 30 ฉบับที่ 2 เมษายน -มิถุนายน 2563</t>
  </si>
  <si>
    <t>Advances and Applications in Mathematical Sciences vol 18 pp.503-520. 2019</t>
  </si>
  <si>
    <t xml:space="preserve">stats 2019,2, 164-173 </t>
  </si>
  <si>
    <t>Key Engineering Materials,vol 824,pp 176-181 (2019) scopus</t>
  </si>
  <si>
    <t>วารสารวิทยาสาสตร์ประยุกต์ Vol.18NO2.</t>
  </si>
  <si>
    <t>วันที่ปิดทุน</t>
  </si>
  <si>
    <t>ฐานข้อมูล</t>
  </si>
  <si>
    <t>วารสารสังคมศาสตร์ นิติรัฐศาสตร์ คณะนิติรัฐศาสตร์ มหาวิทยาลัยราชภัฎร้อยเอ็ด ปีที่ 3 ฉบับที่ 2 ก.ค.-ธ.ค. 62</t>
  </si>
  <si>
    <t>A new splitting method concerning the split equilibrium problems. </t>
  </si>
  <si>
    <t>รองศาสตราจารย์ ดร. กนกวรรณ สิทธิเถกิงเกียรติ</t>
  </si>
  <si>
    <t>การรู้จำกิจกรรมการออกกำลังกายด้วยเซนเซอร์สัญญาณไฟฟ้ากล้ามเนื้อบริเวณผิวหนังโดยใช้วิธีการเรียนรู้ของเครื่องจักรแบบองค์รวม </t>
  </si>
  <si>
    <t>ผู้ช่วยศาสตราจารย์ ดร. อนุชิต จิตพัฒนกุล</t>
  </si>
  <si>
    <t>การปรับปรุงความเหนียวของฟิล์มพอลิแลคติกแอซิดด้วยเทคนิคการดึงยืด </t>
  </si>
  <si>
    <t>ผู้ช่วยศาสตราจารย์ ดร. สุทธินันท์ พงษ์ธรรมรักษ์</t>
  </si>
  <si>
    <t>ประสิทธิภาพสเปรย์สมุนไพรยับยั้งการเจริญเติบโตของเชื้อแบคทีเรียก่อโรคของสารสกัดจากพืชสมุนไพรไทยและน้ำมันหอมระเหย </t>
  </si>
  <si>
    <t>นางสาว  สมภล ผาสิน</t>
  </si>
  <si>
    <t>การเตรียมไมโครแคปซูลของพอลิเมอร์ร่วมอะคริลาไมด์-อะคริลิคแอซิดที่บรรจุยาต้านจุลชีพสำหรับระบบควบคุมการปลดปล่อยยา </t>
  </si>
  <si>
    <t>ผู้ช่วยศาสตราจารย์ ดร. สมิทธิชัย สียางนอก</t>
  </si>
  <si>
    <t>การวิเคราะห์อันตรายทางความร้อนของแคลเซียมไฮโปคลอไรท์โดยใช้ดิฟเฟอเรนเชียลสแกนนิงแคลอริมิเตอร์ </t>
  </si>
  <si>
    <t>นางสาว  สุราณี อโณทัยรุ่งรัตน์</t>
  </si>
  <si>
    <t>การศึกษาฤทธิ์การต้านเชื้อแบคทีเรียของนาโนอิมัลชันจากสารสกัดสมุนไพรเพื่อนำไปใช้ในผลิตภัณฑ์ดับกลิ่นกาย </t>
  </si>
  <si>
    <t>ดร. สุกัญญา เทพวาที</t>
  </si>
  <si>
    <t>การศึกษาการป้องกันคาร์บอนสะสมบนตัวเร่งปฏิกิริยานิกเกิลที่ใช้สำหรับผลิตไฮโดรเจน ด้วยอิทธิพลของเซอร์โคเนียมออกไซด์ </t>
  </si>
  <si>
    <t>ผู้ช่วยศาสตราจารย์ ดร. มนฤดี ผ่องอักษร</t>
  </si>
  <si>
    <t>การพัฒนาผงปรุงแต่งกลิ่นรสจากโปรตีนไฮโดรไลเซทแมงกะพรุน </t>
  </si>
  <si>
    <t>รองศาสตราจารย์ ดร. เบญจวรรณ ธรรมธนารักษ์</t>
  </si>
  <si>
    <t>การผลิตปุ๋ยน้ำหมักชีวภาพจากเศษกะหล่ำปลี </t>
  </si>
  <si>
    <t>อาจารย์ ดร. วรรณรัก นพเจริญกุล</t>
  </si>
  <si>
    <t>การเพิ่มประสิทธิภาพของกระบวนการบำบัดน้ำเสียแบบไร้อากาศด้วยวิธีไฟฟ้าเคมี </t>
  </si>
  <si>
    <t>ศาสตราจารย์ ดร. นิพนธ์ พิสุทธิ์ไพศาล</t>
  </si>
  <si>
    <t>องค์ประกอบของพฤกษเคมี และประสิทธิภาพของสารสกัดใบหนานเฉาเหว่ยต่อฤทธิ์ต้านอนุมูลอิสระและยับยั้งแบคทีเรียก่อโรค เพื่อพัฒนายาสระผมและครีมนวดผมจากสารสกัดธรรมชาติ </t>
  </si>
  <si>
    <t>ผู้ช่วยศาสตราจารย์ ดร. ศิริขวัญ ทินรัตน์</t>
  </si>
  <si>
    <t>การพัฒนาผลิตภัณฑ์เสริมอาหารจากธัญพืชสมุนไพรไทยเพื่อสุขภาพ </t>
  </si>
  <si>
    <t>ผู้ช่วยศาสตราจารย์ ดร. สุมนต์ทิพย์ คงตันจันทร์ฟัก</t>
  </si>
  <si>
    <t>การใช้ประโยชน์จากกากกาแฟผลิตเป็นก้อนพลังงานอัดแท่ง </t>
  </si>
  <si>
    <t>ผู้ช่วยศาสตราจารย์ ดร. เพ็ญจา จิตจำรูญโชคไชย</t>
  </si>
  <si>
    <t>การพัฒนาแม่แบบพอลิไดเมทิลไซโลเซนบนแม่พิมพ์แผ่นอะลูมิเนียมที่มีโครงสร้างระดับไมโครถึงนาโนด้วยวิธีการเคลือบแบบไอเคมีอาศัยพลาสมาสำหรับการเตรียมพื้นผิวขยายสัญญาณรามาน </t>
  </si>
  <si>
    <t>ผู้ช่วยศาสตราจารย์ ดร. วันทนา เกิดนิยม</t>
  </si>
  <si>
    <t>ผลของการควบคุมขนาดของแท่งนาโนซิงค์ออกไซด์สำหรับพื้นผิวขยายสัญญาณรามานแบบใช้ซ้ำได้ </t>
  </si>
  <si>
    <t>ผู้ช่วยศาสตราจารย์ ดร. น้ำผึ้ง ผังไพบูลย์</t>
  </si>
  <si>
    <t>การออกแบบอัตราส่วนกราฟีนต่อคาร์บอนของกราฟีนคาร์บอนเพสสำหรับเซ็นเซอร์ทางเคมีไฟฟ้าประสิทธิภาพสูง </t>
  </si>
  <si>
    <t>ผู้ช่วยศาสตราจารย์ ดร. เกษรารัตน์ อักษรรัตน์</t>
  </si>
  <si>
    <t>การศึกษาการออกแบบเซนเซอร์ความจุไฟฟ้าแบบกึ่งทรงกระบอกสำหรับตรวจวัดการหยดในชุดให้สารละลายทางหลอดเลือดดำ </t>
  </si>
  <si>
    <t>ผู้ช่วยศาสตราจารย์ ดร. ธีระ ลีอุดมวงษ์</t>
  </si>
  <si>
    <t>ระบบตามแสงอาทิตย์โดยการควบคุมแบบฟัซซี่ลอจิก </t>
  </si>
  <si>
    <t>นาย วุฒิชัย พัฒน์ชนะ</t>
  </si>
  <si>
    <t>ผลของกรดเปอราซิติกต่อการกัดกร่อนและประสิทธิภาพการฟอกเลือดของตัวกรองเลือด ที่ใช้ซ้ำ </t>
  </si>
  <si>
    <t>ดร. สุวดี โพธิ์วิจิตร</t>
  </si>
  <si>
    <t>การกำจัดอนุมูลอิสระจากกรดเปอราซิติกในตัวกรองเลือดที่ใช้ซ้ำด้วยกรดแอสคอร์บิก </t>
  </si>
  <si>
    <t>รองศาสตราจารย์ ดร. วีระศักดิ์ อัศววงศ์อารยะ</t>
  </si>
  <si>
    <t>การปรับปรุงการหาค่าเหมาะสมที่สุดแบบกลุ่มอนุภาคด้วยวิธีการกลายพันธุ์สำหรับการแก้ปัญหาการแบ่งกลุ่มข้อมูล </t>
  </si>
  <si>
    <t>ดร. เฉียบวุฒิ รัตนวิไลสกุล</t>
  </si>
  <si>
    <t>การพัฒนาแบบจำลองการถอดรหัสภาพสมองโดยใช้คอมพิวเตอร์วิทัศน์ร่วมกับเครื่องจักรกลเรียนรู้ </t>
  </si>
  <si>
    <t>ผู้ช่วยศาสตราจารย์ ดร. ลือพล พิพานเมฆาภรณ์</t>
  </si>
  <si>
    <t>การพัฒนาอัลกอริทึมเรียนรู้แบบกึ่งมีผู้สอนสำหรับการตรวจจับเหตุการณ์รุนแรงจากกล้องวงจรปิด </t>
  </si>
  <si>
    <t>ผู้ช่วยศาสตราจารย์ ดร. สุวัจชัย กมลสันติโรจน์</t>
  </si>
  <si>
    <t>ช่วงความเชื่อมั่นสำหรับผลต่างของซิกนอลทูนอยส์เรโชของการแจกแจงแบบเลขชี้กำลังแบบสองพารามิเตอร์ </t>
  </si>
  <si>
    <t>รองศาสตราจารย์ ดร. สอาด นิวิศพงศ์</t>
  </si>
  <si>
    <t>ช่วงความเชื่อมั่นร่วมสำหรับซิกนอลทูนอยส์เรโชของการแจกแจงแบบเลขชี้กำลังแบบสองพารามิเตอร์ </t>
  </si>
  <si>
    <t>รองศาสตราจารย์ ดร. สุภารัตน์ นิวิศพงศ์</t>
  </si>
  <si>
    <t>ตัวแบบสินค้าคงคลังสองระดับเมื่อมีความต้องการสินค้าไม่แน่นอน </t>
  </si>
  <si>
    <t>ผู้ช่วยศาสตราจารย์ ดร. ศิรประภา มโนมัธย์</t>
  </si>
  <si>
    <t>ความต้องการจองไม่คงที่ในตัวแบบการจองเกินสำหรับลูกค้าสองระดับชั้น </t>
  </si>
  <si>
    <t>ดร. มูรตี สมบูรณ์</t>
  </si>
  <si>
    <t>ตัวประมาณอัตราส่วนสำหรับค่าเฉลี่ยประชากรตัวใหม่ในการสุ่มตัวอย่างอย่างง่ายโดยใช้การถดถอยที่มีความแกร่ง </t>
  </si>
  <si>
    <t>ผู้ช่วยศาสตราจารย์ ดร. นวลพรรณ ลอว์สัน</t>
  </si>
  <si>
    <t>การประมาณค่าความยาวรันเฉลี่ยของแผนภูมิควบคุม CUSUM สำหรับตรวจจับการเปลี่ยนแปลงในค่าเฉลี่ยภายใต้ตัวแบบ ARFIMAX ด้วยกระบวนการความจำระยะยาว </t>
  </si>
  <si>
    <t>ดร. วิลาสินี ปีระจิตร</t>
  </si>
  <si>
    <t>แผนภูมิควบคุมไม่อิงพารามิเตอร์ CUSUM-Tukey เพื่อตรวจจับความแปรผันของกระบวนการ </t>
  </si>
  <si>
    <t>รองศาสตราจารย์ ดร. เสาวณิต สุขภารังษี</t>
  </si>
  <si>
    <t>ปัจจัยที่มีผลต่อความสุขในการทำงานของบุคลากรทางด้านการเงินและบัญชีในมหาวิทยาลัยเทคโนโลยีพระจอมเกล้าพระนครเหนือ </t>
  </si>
  <si>
    <t>นางสาว  วดี นิลเปลี่ยน</t>
  </si>
  <si>
    <t>นางสาว  วรรณนิภา ขาวผ่อง</t>
  </si>
  <si>
    <t>นาย ภิรมย์ พาบุ</t>
  </si>
  <si>
    <t>คณิตศาสตร์</t>
  </si>
  <si>
    <t>เคมีอุตสาหกรรม</t>
  </si>
  <si>
    <t>เทคโนโลยีชีวภาพ</t>
  </si>
  <si>
    <t>วิทยาการคอมพิวเตอร์และสารสนเทศ</t>
  </si>
  <si>
    <t>สถิติประยุกต์</t>
  </si>
  <si>
    <t>นางจิราวรรณ บวรวงศ์เสถียร</t>
  </si>
  <si>
    <t>นายเก็จ แก้วแดง</t>
  </si>
  <si>
    <t>นางสาวสุราณี อโณทัยรุ่งรัตน์</t>
  </si>
  <si>
    <t>ผศ.ดร.สุธิดา อัครชนียากร</t>
  </si>
  <si>
    <t>นางสาวเพ็ญศรี ชื่นชม</t>
  </si>
  <si>
    <t>ผศ.ดร.สริญญา ชวพันธ์</t>
  </si>
  <si>
    <t>ผศ.ดร.สุทธินันท์ พงษ์ธรรมรักษ์</t>
  </si>
  <si>
    <t>นางสาวสมภล ผาสิน</t>
  </si>
  <si>
    <t>ผศ.ดร.วันทนา เกิดนิยม</t>
  </si>
  <si>
    <t>ผศ.ดร.คณิตา เพ็ชรัตน์</t>
  </si>
  <si>
    <t>Scpous</t>
  </si>
  <si>
    <t xml:space="preserve">ประชุมวิชาการระดับนานาชาติ The 5th International Conference on Digital Arts, Media and Technology (DAMT) and 3nd ECTI Northern Section Conference on Electrical, Electronics, Computer and Telecommunications Engineering (NCON) March 11 – 14, 2020, Pattaya, Thailand </t>
  </si>
  <si>
    <t xml:space="preserve">Hindawi International Journal of Mathematics and Mathematical Sciences Vol.2020 </t>
  </si>
  <si>
    <t>scopus</t>
  </si>
  <si>
    <t xml:space="preserve">ในวารสารวิทยาศาสตร์เกษตร ปีที่ 50 ฉบับที่ 2 (พิเศษ) กันายายน – ธันวาคม 2562 </t>
  </si>
  <si>
    <t xml:space="preserve"> International Journal of the Computer, the Internet and Management vol.28 No.3 sep-Dec 2020</t>
  </si>
  <si>
    <t xml:space="preserve">วท/2563 (8-6-2563) </t>
  </si>
  <si>
    <t>วท 240/2563 (8-6-63)</t>
  </si>
  <si>
    <t>วท 242/2563 (8-6-63)</t>
  </si>
  <si>
    <t>Pure and Applied Chemistry International Conference 2019 (PACCON 2019)
February 7, 2019</t>
  </si>
  <si>
    <t xml:space="preserve">The 2nd Materials Research Society of Thailand International Conference (MRS-Thailand 2019) (2nd MRS Thailand International Conference ) The Zign Hotel, Pattaya, Thailand July 10 - 12, 2019 </t>
  </si>
  <si>
    <t>คณะวิทยาศาสตร์ประยุกต์ มจพ.</t>
  </si>
  <si>
    <t>วท 261/2563 (23-6-2563)</t>
  </si>
  <si>
    <t>ภาควิชาเคมีอุตสาหกรรม คณะวิทยาศาสตร์ประยุกต์ มจพ.</t>
  </si>
  <si>
    <t>รางานความก้าวหน้ามาเพื่อของเบิกเงินงวดที่ 2</t>
  </si>
  <si>
    <t>The journal of applied science vol.19 no.1</t>
  </si>
  <si>
    <t xml:space="preserve">2019 RESEARCH, INVENTION, AND INNOVATION CONGRESS (RI2C 2019) 11-13 December 2019 in Bangkok, Thailand </t>
  </si>
  <si>
    <t xml:space="preserve">Proceedings of SPIE - The International Society for Optical Engineering Volume 11321, 2019 </t>
  </si>
  <si>
    <t xml:space="preserve">ตีพิมพ์ในวารสารสังคมศาสตร์ นิติรัฐศาสตร์ คณะนิติรัฐศาสตร์ มหาวิทยาลัยราชภัฎร้อยเอ็ด ปีที่ 4 ฉบับที่ 1 มกราคม - มิถุนายน 2563 </t>
  </si>
  <si>
    <r>
      <t>the Pure and Applied Chemistry International Conference 2020 (PACCON 2020) February 13</t>
    </r>
    <r>
      <rPr>
        <vertAlign val="superscript"/>
        <sz val="16"/>
        <color rgb="FF050505"/>
        <rFont val="TH SarabunPSK"/>
        <family val="2"/>
      </rPr>
      <t>th</t>
    </r>
    <r>
      <rPr>
        <sz val="16"/>
        <color rgb="FF050505"/>
        <rFont val="TH SarabunPSK"/>
        <family val="2"/>
      </rPr>
      <t xml:space="preserve"> – 14</t>
    </r>
    <r>
      <rPr>
        <vertAlign val="superscript"/>
        <sz val="16"/>
        <color rgb="FF050505"/>
        <rFont val="TH SarabunPSK"/>
        <family val="2"/>
      </rPr>
      <t>th</t>
    </r>
    <r>
      <rPr>
        <sz val="16"/>
        <color rgb="FF050505"/>
        <rFont val="TH SarabunPSK"/>
        <family val="2"/>
      </rPr>
      <t xml:space="preserve">, 2020   in Bangkok, THAILAND PP : PC211 - PC216 </t>
    </r>
  </si>
  <si>
    <t>ตีพิมพ์ในวารสาร        การประชุมวิชาการนานาชาติ The 26th PPC Symposium on Petroleum, Petrochemicals, and Polymers and The 11th Research Symposium on Petrochemical and Materials Technology at The Petroleum and Petrochemical College, Chulalongkorn University, Bangkok Thursday, JULY 23, 2020  PP: 493 - 498</t>
  </si>
  <si>
    <t>The Journal of Applied Science Vol. 19 No.1 PP : 51 - 58</t>
  </si>
  <si>
    <t xml:space="preserve">The Journal of Applied Science Vol. 19 No.1 PP : 36 - 50 </t>
  </si>
  <si>
    <t xml:space="preserve">CURRENT APPLIED SCIENCE AND TECHNOLOGY Vol. 21 No. 1 (2021) PP : 101 - 111 </t>
  </si>
  <si>
    <t xml:space="preserve">วท/2563 (31-8-2563) </t>
  </si>
  <si>
    <t xml:space="preserve">Journals Mathematical and Computational Applications MCA  Volume 25  Issue 3 </t>
  </si>
  <si>
    <t>Scpous Q2</t>
  </si>
  <si>
    <t xml:space="preserve">Chemical Engineering Transactions (2019), Vol. 74, Pages: 1- 6 </t>
  </si>
  <si>
    <t xml:space="preserve">ได้นำผลงานไปใช้ประโยชน์ใน วิทยาลัยประมงสมุทรสาคร </t>
  </si>
  <si>
    <t>Applied Mechanics and Materials, Vol. 879, pp. 13-17</t>
  </si>
  <si>
    <t>ส่งแบบตอบรับการตีพิมพพ์มาแล้ว</t>
  </si>
  <si>
    <t>ได้นำผลงานไปใช้ประโยชน์ ชุมชนแผ่นดินทองคอยรุตตั๊กวา โรงเรียนเกษตรทฤษฎีใหม่ ตามแนวพระราชดำริ</t>
  </si>
  <si>
    <t>ทุนวิจัยคณะวิทยาศาสตร์ประยุกต์ งบประมาณเงินรายได้ ประจำปี 2564</t>
  </si>
  <si>
    <t>เลขที่สัญญารับทุน</t>
  </si>
  <si>
    <t>ประเภทงานวิจัย</t>
  </si>
  <si>
    <t>ชื่อโครงการวิจัย</t>
  </si>
  <si>
    <t>วิจัยพื้นฐาน</t>
  </si>
  <si>
    <t>ขั้นตอนวิธีจุดตรึงรูปแบบใหม่สำหรับการแก้ไขปัญหาความเป็นไปได้นูน</t>
  </si>
  <si>
    <t>วิจัยประยุกต์</t>
  </si>
  <si>
    <t>คำตอบแม่นตรงที่มีสัมประสิทธิ์เป็นตัวแปรสำหรับสมการเชิงอนุพันธ์ย่อยโดยใช้วิธีสมการช่วย</t>
  </si>
  <si>
    <t>รองศาสตราจารย์ ดร. เสกสรร สิริทรัพย์ทวี</t>
  </si>
  <si>
    <t>การระบุตัวตนเชิงชีวมิติโดยการรู้จำกิจกรรมของมนุษย์จากเซนเซอร์บนอุปกรณ์สวมใส่โดยวิธีการเรียนรู้เชิงลึก</t>
  </si>
  <si>
    <t>รองศาสตราจารย์ ดร. อนุชิต จิตพัฒนกุล</t>
  </si>
  <si>
    <t>ผลเฉลยเชิงวิเคราะห์สำหรับตัวแบบเชิงเศษส่วนแบบคอนฟอร์เมเบิลของการเจริญเติบโตของเนื้องอกโดยใช้วิธีอนุกรมกำลังตกค้าง</t>
  </si>
  <si>
    <t>ดร. นันทพล ธัมอารีย์รัตน์</t>
  </si>
  <si>
    <t>การจำลองทางคณิตศาสตร์เพื่อแสดงประสิทธิภาพเซลล์พลังงานของกลูโคส โดยผ่านสมการการแพร่อนุพันธ์ย่อยอันดับเศษส่วน</t>
  </si>
  <si>
    <t>ดร. เอกภัค เจริญเลิศมงคล</t>
  </si>
  <si>
    <t>การพัฒนาระบบกักเก็บสารสกัดมะหาดและการประเมินคุณสมบัติเบื้องต้นในการนำไปประยุกต์ใช้ทางเครื่องสำอาง</t>
  </si>
  <si>
    <t>ผู้ช่วยศาสตราจารย์ ดร. สุกัญญา เทพวาที</t>
  </si>
  <si>
    <t>วิจัยเพื่อพัฒนา</t>
  </si>
  <si>
    <t>การศึกษากระบวนการเปลี่ยนเฟสของซิโตรยิปซัมโดยการนำน้ำเกลือกลับมาใช้ซ้ำ</t>
  </si>
  <si>
    <t>การพัฒนาตัวเร่งปฏิกิริยา Ni/ZrO2 สำหรับกระบวนการดรายรีฟอร์มมิงมีเทน</t>
  </si>
  <si>
    <t>ดร. ธนากร รัตนะ</t>
  </si>
  <si>
    <t>การออกแบบหอกลั่นแบบมีปฏิกิริยาสำหรับกระบวนการผลิตน้ำมันดีเซลชีวภาพสังเคราะห์จากน้ำมันปาล์มดิบ</t>
  </si>
  <si>
    <t>ผู้ช่วยศาสตราจารย์ ดร.ลิดา สิมะสาธิตกุล</t>
  </si>
  <si>
    <t>องค์ประกอบทางเคมีและความเป็นพิษต่อเซลล์มะเร็งจากลำต้นมะดัน</t>
  </si>
  <si>
    <t>ดร. สุทิน แก่นนาคำ</t>
  </si>
  <si>
    <t>เทคโนโลยีอุตสาหกรรมเกษตรฯ</t>
  </si>
  <si>
    <t>ผลของตาลโตนด (Borassus flabellifer Linn.) ที่มีต่อคุณภาพและการยอมรับทางประสาทสัมผัสของผลิตภัณฑ์กัมมี่เยลลี่</t>
  </si>
  <si>
    <t>รองศาสตราจารย์ ดร. ณัฐสุดา สุมณศิริ</t>
  </si>
  <si>
    <t>สภาวะแวดล้อมที่เหมาะสมต่อการเพาะเลี้ยงเส้นใยเห็ดกระถินพิมานและการผลิตสารออกฤทธิ์ทางชีวภาพ</t>
  </si>
  <si>
    <t>รองศาสตราจารย์ ดร. สาวิตรี วทัญญูไพศาล</t>
  </si>
  <si>
    <t>การศึกษาสภาวะการเตรียมเบื้องต้นที่เหมาะสมสำหรับการผลิตไวน์ข้าว</t>
  </si>
  <si>
    <t>ผู้ช่วยศาสตราจารย์ ดร. ปลายมีน อำนวยชีวะ</t>
  </si>
  <si>
    <t>การลดคาร์โบฟูรานตกค้างในผักด้วยแคลเซียมคลอไรด์ชนิดเม็ด</t>
  </si>
  <si>
    <t>ดร. วิชัย ดำรงโภคภัณฑ์</t>
  </si>
  <si>
    <t>การแยกสารออกฤทธิ์ทางชีวภาพจากดอกเห็ดกินได้ท้องถิ่นด้วยวิธีการแบ่งชั้นแบบสามส่วน</t>
  </si>
  <si>
    <t>ดร. ศรัณยา เศรษฐธนนันท์</t>
  </si>
  <si>
    <t>การวิเคราะห์หน้าที่ของโปรตีนที่มีกรดอะมิโนแบบกิ่งโดยใช้ชีวสารสนเทศศาสตร์</t>
  </si>
  <si>
    <t>ผู้ช่วยศาสตราจารย์ ดร. ศศิธร คงเรือง</t>
  </si>
  <si>
    <t>องค์ประกอบทางพฤกษเคมี และประสิทธิภาพของสารสกัดใบขลู่ต่อฤทธิ์ต้านอนุมูลอิสระและยับยั้งเชื้อแบคทีเรียก่อโรค เพื่อพัฒนาสูตรโลชั่นบาร์สมุนไพรจากธรรมชาติ</t>
  </si>
  <si>
    <r>
      <t>ดิจิตอลไมโครฟลูอิดิกไมโครชิปร่วมด้วยเซ็นเซอร์ทางเคมีไฟฟ้ากราฟีนชนิด NH</t>
    </r>
    <r>
      <rPr>
        <vertAlign val="subscript"/>
        <sz val="16"/>
        <color rgb="FF000000"/>
        <rFont val="TH SarabunPSK"/>
        <family val="2"/>
      </rPr>
      <t>2</t>
    </r>
    <r>
      <rPr>
        <sz val="16"/>
        <color rgb="FF000000"/>
        <rFont val="TH SarabunPSK"/>
        <family val="2"/>
      </rPr>
      <t>-RGO</t>
    </r>
  </si>
  <si>
    <t>รองศาสตราจารย์ ดร. เกษรารัตน์ อักษรรัตน์</t>
  </si>
  <si>
    <t>ฟิสิกส์อุตสาหกรรมและอุปกรณ์การแพทย์</t>
  </si>
  <si>
    <t>การปรับปรุงการขยายสัญญาณรามานด้วยอนุภาคระดับนาโนของทองและเงินบนพื้นผิวแผ่นโลหะขยายสัญญาณรามาน</t>
  </si>
  <si>
    <t>การเตรียมฟิล์มบางยืดหยุ่นโดยการผสมระหว่าง PDMS และ TiO2 เพื่อประยุกต์ใช้ด้านการทำความสะอาดพื้นผิวตนเอง</t>
  </si>
  <si>
    <t>เสื้อประคบร้อนและนวดเต้านมด้วยเทคนิคการสั่นแบบคลื่นหมุนวนสำหรับเร่งการหลั่งน้ำนมของแม่หลังคลอด</t>
  </si>
  <si>
    <t>ดร. รสจรินทร์ รัตนสุนทร</t>
  </si>
  <si>
    <t>การประยุกต์การค้นหาแบบสำรวจสำหรับการเรียนด้วยตนเอง</t>
  </si>
  <si>
    <t>รองศาสตราจารย์ ดร. กฤดาภัทร สีหารี</t>
  </si>
  <si>
    <t>การสืบค้นข้อมูลโบราณวัตถุด้วยภาพโดยใช้โครงข่ายประสาทเทียมแบบลึก</t>
  </si>
  <si>
    <t>การประมาณค่าพารามิเตอร์สำหรับการแจกแจงความยาวเอนเอียงอินเวอร์สเกาส์เซียนที่มีการปรับเปลี่ยนพารามิเตอร์ใหม่</t>
  </si>
  <si>
    <t>ผู้ช่วยศาสตราจารย์ ดร. วิกานดา ผาพันธ์</t>
  </si>
  <si>
    <t>ช่วงความเชื่อมั่นเบย์สำหรับสัมประสิทธิ์การแปรผันของการแจกแจงแบบล็อกนอร์มอล</t>
  </si>
  <si>
    <t>ศาสตราจารย์ ดร. สอาด นิวิศพงศ์</t>
  </si>
  <si>
    <t>วิธีสมการปริพันธ์เชิงตัวเลขของความยาวรันเฉลี่ยบนแผนภูมิควบคุม EWMA สำหรับกระบวนการค่าเฉลี่ยเคลื่อนที่เมื่อมีตัวแปรภายนอก</t>
  </si>
  <si>
    <t>ผู้ช่วยศาสตราจารย์ ดร. คณิตา เพ็ชรัตน์</t>
  </si>
  <si>
    <t>การพัฒนาประสิทธิภาพในการตรวจจับการเปลี่ยนแปลงค่าเฉลี่ยของกระบวนการด้วยแผนภูมิควบคุม MEWMA และ MEWMA – Signed</t>
  </si>
  <si>
    <t>รูปแบบและแนวโน้มของการเกิดโรคโควิด 19 ในประเทศไทยโดยใช้การถดถอยผสมเชิงเส้นวางนัยทั่วไป</t>
  </si>
  <si>
    <t>ผู้ช่วยศาสตราจารย์ ดร. เพียรพูล เกิดวิชัย</t>
  </si>
  <si>
    <t>การประเมินประสิทธิภาพของความยาวรันเฉลี่ยบนแผนภูมิควบคุม Modified EWMA เพื่อตรวจจับค่าสังเกตจากการแจกแจงต่อเนื่อง</t>
  </si>
  <si>
    <t>ตระกูลของตัวประมาณแบบรวมที่เป็นทางเลือกใหม่สำหรับการประมาณค่าเฉลี่ยประชากร ในประชากรที่มีจำนวนจำกัด</t>
  </si>
  <si>
    <t>รองศาสตราจารย์ ดร. นวลพรรณ ลอว์สัน</t>
  </si>
  <si>
    <t>การวิเคราะห์อภิมานความสัมพันธ์ระหว่างการสัมผัสมลพิษทางอากาศและโรคหลอดเลือดสมอง</t>
  </si>
  <si>
    <t>ผู้ช่วยศาสตราจารย์ ดร. สุวิมล พันธ์แย้ม</t>
  </si>
  <si>
    <t>ความสัมพันธ์ระหว่างการรับรู้คุณค่าของงานกับประสิทธิภาพในการปฏิบัติงานของบุคลากรทางด้านการเงินและบัญชีในมหาวิทยาลัยเทคโนโลยีพระจอมเกล้าพระนครเหนือ</t>
  </si>
  <si>
    <t>นางสาว เพ็ญศรี ชื่นชม</t>
  </si>
  <si>
    <t>งวดที่ 3 20</t>
  </si>
  <si>
    <t xml:space="preserve">The Journal of Applied Science Vol. 19 No.2 PP : 74 - 86  </t>
  </si>
  <si>
    <t>The Journal of Applied Science Vol. 19 No.2 PP : 37 - 51</t>
  </si>
  <si>
    <t>736/2563 (30-12-2563)</t>
  </si>
  <si>
    <t>735/2563 (30-12-2563)</t>
  </si>
  <si>
    <t>374/2563 (30-12-2563)</t>
  </si>
  <si>
    <t>The Journal of Applied Science Vol. 19 No.2 PP : 158 - 174</t>
  </si>
  <si>
    <t>Vol. 10 No. 1 (2021): 1-8 Journal of materials science and applied energy (January – April)</t>
  </si>
  <si>
    <t xml:space="preserve">ได้รับการตีพิมพ์และเผยแพร่ผลงานในที่ประชุมวิชาการระดับนานาชาติ The 15th International Joint Symposium on Artificial Intelligence and Natural Language Processing (iSAI-NLP 2020) and         The International Conference on Artificial Intelligence and Internet of Things (AIoT 2020) November 18 – 20, 2020, Live from Bangkok, Thailand </t>
  </si>
  <si>
    <t xml:space="preserve">International Journal of Difference Equations (IJDE) Vol. 15 No. 2 (2020) PP : 215 - 230 </t>
  </si>
  <si>
    <t>วารสารวิศวกรรมและเทคโนโลยี มหาวิทยาลัยรังสิต
ฉบับที่ 23(2) 2020 P 1-7</t>
  </si>
  <si>
    <t>วารสารวิศวกรรมและเทคโนโลยี มหาวิทยาลัยรังสิต
ฉบับที่ 23(2) 2020 P 19-25</t>
  </si>
  <si>
    <t>วารสารวิทยาศาสตร์และเทคโนโลยี มหาวิทยาลัยมหาสารคาม Vol. 39 No. 6 (2020): Journal of Science and Technology Mahasarakham University</t>
  </si>
  <si>
    <t>Science, Engineering and Health 
	Studies (SEHS) Volume 15, 2021 P: 1- 6</t>
  </si>
  <si>
    <t>งวดที่ 2 (30) รายงานความก้าวหน้า</t>
  </si>
  <si>
    <t>งวดที่ 2 (50) ส่งฉบับเต็มเผยแพร่ตีพิมพ์แล้ว</t>
  </si>
  <si>
    <t xml:space="preserve">งวดที่ 1 (50) </t>
  </si>
  <si>
    <t>ใช้ประโยชน์ ชุมชนหนองแซง</t>
  </si>
  <si>
    <t xml:space="preserve">วารสารวิชาการนานาชาติ Journals  Computation  Volume 9  Issue 3  </t>
  </si>
  <si>
    <t xml:space="preserve">International Journal of Current Pharmaceutical Research 2021 Vol.13, N.2 PP: 51-57  </t>
  </si>
  <si>
    <t xml:space="preserve">Scopus Q4 </t>
  </si>
  <si>
    <t>Mathematics 2021, 9(7), 719; https://doi.org/10.3390/math9070719</t>
  </si>
  <si>
    <t>Mathematics 2021, 9(10), 1155; https://doi.org/10.3390/math9101155</t>
  </si>
  <si>
    <t>ส่งพิจารณาในการตีพิมพ์ที่วารสาร Applied Science and Engineering Progress ซึ่งอยู่ในฐานข้อมูล Scopus</t>
  </si>
  <si>
    <t>แบบตอบรับการตีพิพม์ในวารสาร</t>
  </si>
  <si>
    <t>ตอบรับการตีพิมพ์ RI2C</t>
  </si>
  <si>
    <t>International Journal of
Mathematics and Computer Science, 17 (2021), no. 1, 107–121</t>
  </si>
  <si>
    <t>scopus q2</t>
  </si>
  <si>
    <t xml:space="preserve">          The International Journal of Applied Biomedical Engineering
           Vol.14 no.1, 2021</t>
  </si>
  <si>
    <t xml:space="preserve">Current Applied Science and Technology
Vol. 22 No. 2 (March-April 2022) </t>
  </si>
  <si>
    <t>catalysts</t>
  </si>
  <si>
    <t>Asian Journal of Pharmaceutical and Clinical Research, Vol. 13, no. 10, July 2020, pp. 50-57</t>
  </si>
  <si>
    <t>THE JOURNAL OF APPLIED
SCIENCE Vol. 20 No. 2 (2021): Vol 20 No 2 [2021] PP: 23 -33 ฐานข้อมูล
TCI 1</t>
  </si>
  <si>
    <t>THE JOURNAL OF APPLIED SCIENCE Vol. 20 No. 2 (2021): Vol 20 No 2 [2021] PP: 34 - 42 ฐานข้อมูล TCI1</t>
  </si>
  <si>
    <t>Indian Journal of Pure and Applied MathematicsVolume 52, Issue 2, Pages 614 - 628June 2021</t>
  </si>
  <si>
    <t>ได้การตอบรับให้ตีพิมพ์ในวารสารระดับนานาชาติ
Statistics, Optimization and Information Computing (Scopus: Q3)</t>
  </si>
  <si>
    <t>วารสารสังคมศาสตร์ นิติ vol 4</t>
  </si>
  <si>
    <t>E3S Web of Conferences 302, 02002 (2021) 
	RI²C 2021</t>
  </si>
  <si>
    <t xml:space="preserve"> ฐานข้อมูล Scopus</t>
  </si>
  <si>
    <t>เรื่อง แผนควบคุมผลรวมสะสมสำหรับการตรวจจับกระบวนการฟัซซี่</t>
  </si>
  <si>
    <t>journal of natural medicines</t>
  </si>
  <si>
    <t>AIP Conference Proceedings Vol 2397, No 1 060002 (2021); https://doi.org/10.1063/5.0064524</t>
  </si>
  <si>
    <t xml:space="preserve">Vol 15, No 14 , 2022, 5532 Applied Science and Engineering Progress 2021 </t>
  </si>
  <si>
    <t>ฐานข้อมูล Scopus</t>
  </si>
  <si>
    <t xml:space="preserve">ที่ประชุมสภาข้าราชการ พนักงานและลูกจ้างมหาวิทยาลัย แห่งประเทศไทย ( ปขมท.) ปีที่ 10 ฉบับที่ 3 (กันยายน - ธันาวาคม 2564 หน้า 165-174 ข้อมูล TCI </t>
  </si>
  <si>
    <t xml:space="preserve">ที่ประชุมสภาข้าราชการ พนักงานและลูกจ้างมหาวิทยาลัย แห่งประเทศไทย ( ปขมท.) ปีที่ 10 ฉบับที่ 3 (กันยายน - ธันาวาคม 2564 หน้า 143-153 ข้อมูล TCI </t>
  </si>
  <si>
    <t>ได้นําเสนอที่ประชุมนานาชาติและตีพิมพ์ 2021 Research, Invention, and Innovation Congress (RI2C2021) in Bangkok, Thailand 1- 2 Sep 2021 P: 216-220</t>
  </si>
  <si>
    <t>2021 Research, Invention, and Innovation Congress (RI2C2021)
             1st -3rd September 2021 at Shangri-La Hotel, Bangkok, Thailand
             E3S Web of Conferences Vol.302, ID.02022</t>
  </si>
  <si>
    <t>Materials Today: Proceedings
Volume 47, Part 12, 2021, Pages 3604-3609</t>
  </si>
  <si>
    <t>Scopus</t>
  </si>
  <si>
    <t>512/2564</t>
  </si>
  <si>
    <t>478/2564 วันที่ 2 พ.ย. 64</t>
  </si>
  <si>
    <t>479/2564 วันที่ 2 พ.ย. 65</t>
  </si>
  <si>
    <t>513/2564 (15-11-2564)</t>
  </si>
  <si>
    <t>480/2564 (2-11-2564)</t>
  </si>
  <si>
    <t>514/2564(15-11-2564)</t>
  </si>
  <si>
    <t>511/2564</t>
  </si>
  <si>
    <t>จีรภา</t>
  </si>
  <si>
    <t>วท 398 /2564</t>
  </si>
  <si>
    <t>วท 252 31/5/2564</t>
  </si>
  <si>
    <t>514/2564 15-11-64</t>
  </si>
  <si>
    <t>Emerging Science Journal Volume 5,
Issue 2, Pages 139 - 154 April 2021 ฐานข้อมูล Scopus</t>
  </si>
  <si>
    <t>391.1/2564</t>
  </si>
  <si>
    <t>465/2564 26-10-64</t>
  </si>
  <si>
    <t xml:space="preserve">            โดยนำเสนอในที่ประชุมวิชาการและได้รับการตอบรับ
            ตีพิมพ์ในวารสารนานาชาติ 
            2nd International Conference on Education and Artificial Intelligence 
            Technologies EAIT 2021 date: 20 – 22 nov. 2021</t>
  </si>
  <si>
    <t>Lobachevskii Journal of Mathematics, 2022, Vol. 43, No. 1, pp. 90–97</t>
  </si>
  <si>
    <t>Applied Science and Engineering Progress 
	Vol.16 no.2 ,2023,5699</t>
  </si>
  <si>
    <t>โครงการวิจัยเพื่อขอรับการสนับสนุนทุนวิจัยคณะวิทยาศาสตร์ประยุกต์ งบประมาณเงินรายได้ ประจำปี พ.ศ. 2565</t>
  </si>
  <si>
    <t>รหัสโครงการ</t>
  </si>
  <si>
    <t>ชื่อหัวหน้าโครงการวิจัย</t>
  </si>
  <si>
    <t>วิธีการประมาณค่าสำหรับปัญหาอินคลูชันทางเดียว</t>
  </si>
  <si>
    <t>โครงการวิจัย (พื้นฐาน) </t>
  </si>
  <si>
    <t>กนกวรรณ สิทธิเถกิงเกียรติ</t>
  </si>
  <si>
    <t>การกวัดแกว่งของสมการเชิงอนุพันธ์สัดส่วน</t>
  </si>
  <si>
    <t>ศ.ดร.</t>
  </si>
  <si>
    <t>เจษฎา ธารีบุญ</t>
  </si>
  <si>
    <t>การตรวจจับการล้มจากเซนเซอร์ในอุปกรณ์สวมใส่อัจฉริยะโดยใช้โครงข่ายประสาทเวียนกลับเชิงลึกแบบผสม</t>
  </si>
  <si>
    <t>โครงการวิจัย (การวิจัยเชิงประยุกต์)</t>
  </si>
  <si>
    <t>อนุชิต จิตพัฒนกุล</t>
  </si>
  <si>
    <t>การบ่งชี้เป้าหมายโปรตีนด้วยตัวแบบโครงข่ายเฮทเทอโรจีเนียส</t>
  </si>
  <si>
    <t>อภิชาต ศุรธณี</t>
  </si>
  <si>
    <t>การประยุกต์ของวิธีการกระจายไซน์-กอร์ดอนสำหรับการแก้ปัญหาสมการเชิงอนุพันธ์ย่อยแบบคอนฟอร์เมเบิล</t>
  </si>
  <si>
    <t>เสกสรร สิริทรัพย์ทวี</t>
  </si>
  <si>
    <t>การพัฒนาวิธีการสกัดสารออกซิเรสเวอราทรอลจากมะหาดและทำให้สารสกัดบริสุทธิ์</t>
  </si>
  <si>
    <t>นิศาลักษณ์ ตรงศิริวัฒน์</t>
  </si>
  <si>
    <t>การประยุกต์ใช้ผลึกนาโนเซลลูโลสในการดักจับฝุ่นขนาดเล็กไม่เกิน 2.5 ไมครอน</t>
  </si>
  <si>
    <t>เทวารักษ์ ปานกลาง</t>
  </si>
  <si>
    <t>การตรวจสอบ การทดสอบ และการบำรุงรักษาระบบดับเพลิง อาคารคณะวิทยาศาสตร์ประยุกต์ มจพ.</t>
  </si>
  <si>
    <t>โครงการวิจัย (การวิจัยเพื่อการพัฒนา)</t>
  </si>
  <si>
    <t>โกวิทย์ ปิยะมังคลา</t>
  </si>
  <si>
    <t>การพัฒนาตัวเร่งปฏิกิริยาสำหรับกระบวนการไฮโดรจิเนชันก๊าซคาร์บอนไดออกไซด์เพื่อ ผลิตสารที่มีมูลค่า</t>
  </si>
  <si>
    <t>มนฤดี ผ่องอักษร</t>
  </si>
  <si>
    <t>เครื่องฆ่าเชื้อโรคในน้ำบริโภคสำหรับครัวเรือน</t>
  </si>
  <si>
    <t>โครงการนวัตกรรม</t>
  </si>
  <si>
    <t>การพัฒนาแผ่นกรองอากาศจากผืนเส้นใยนาโนสู่มาตรฐาน N95</t>
  </si>
  <si>
    <t>สุทธินันท์ พงษ์ธรรมรักษ์</t>
  </si>
  <si>
    <t>การพัฒนาสูตรอาหารและสภาวะที่เหมาะสมในการเจริญเติบโตของเห็ดอรัญญิก (Gigantopanus gigantues)</t>
  </si>
  <si>
    <t>วิไล รังสาดทอง</t>
  </si>
  <si>
    <t>การเพิ่มขยายขนาดการผลิตบะหมี่ผสมโปรตีนคอลลาเจนจากแมงกะพรุน</t>
  </si>
  <si>
    <t>เบญจวรรณ ธรรมธนารักษ์</t>
  </si>
  <si>
    <t>การกำจัดสีสังเคราะห์โดยใช้ถ่านกัมมันต์ที่ผลิตจากกระดูกไก่</t>
  </si>
  <si>
    <t>จันทิยา อิสณพงษ์</t>
  </si>
  <si>
    <t>ผลของวิธีและสภาวะการทำแห้งต่อปริมาณผลผลิตและสมบัติทาง เคมีกายภาพของเยื่อหุ้มเมล็ดฟักข้าวผง</t>
  </si>
  <si>
    <t>สุธิดา อัครชนียากร</t>
  </si>
  <si>
    <t>ผลของแป้งข้าวหอมนิลที่มีต่อคุณสมบัติทางเคมีกายภาพของบราวนี่</t>
  </si>
  <si>
    <t>ณัฐสุดา สุมณศิริ</t>
  </si>
  <si>
    <t>องค์ประกอบทางเคมีและความเป็นพิษต่อเซลล์มะเร็งจากกิ่งชะมวง</t>
  </si>
  <si>
    <t>สุทิน แก่นนาคำ</t>
  </si>
  <si>
    <t>การประเมินประสิทธิภาพของยีสต์สายพันธุ์ทางการค้าต่อสารออกฤทธิ์ทางชีวภาพ ฤทธิ์ต้านอนุมูลอิสระ และการเปลี่ยนแปลงทางเคมีระหว่างการหมักไวน์หม่อน</t>
  </si>
  <si>
    <t>ศิริขวัญ ทินรัตน์</t>
  </si>
  <si>
    <t>การพัฒนาตำรับผลิตภัณฑ์สารสกัดสมุนไพรจากเปลือกผลไม้ไทย ในการยับยั้งเชื้อแบคทีเรียก่อโรคที่ผิวหนัง</t>
  </si>
  <si>
    <t>สุมนต์ทิพย์ คงตันจันทร์ฟัก</t>
  </si>
  <si>
    <t>อิเล็กโทรเวทติงออนไดอิเล็กตริกไมโครชิปร่วมกับเซ็นเซอร์ทางเคมีไฟฟ้าชนิดพลาสติกโดยการสกรีนพริ้น</t>
  </si>
  <si>
    <t>เกษรารัตน์ อักษรรัตน์</t>
  </si>
  <si>
    <t>การออกแบบและพัฒนาเทคโนโลยีการพิมพ์สามมิติเพื่อการใช้งานทางด้านคลื่นแม่เหล็กไฟฟ้า</t>
  </si>
  <si>
    <t>นนชณัต ฉัตรภูติ</t>
  </si>
  <si>
    <t>เซนเซอร์การวัดย่านไมโคเวฟแบบไม่ทำลายสำหรับจำแนกความเป็นกรด – ด่าง ในของเหลวผสม</t>
  </si>
  <si>
    <t>สุกัญญา ฉัตรภูติ</t>
  </si>
  <si>
    <t>พฤติกรรมของฟิล์มบางพอลิเมอร์คอมโพสิตบนฐานรองทองที่ใช้เป็นตัวตรวจวัดสัญญาณทางชีวภาพ</t>
  </si>
  <si>
    <t>น้ำผึ้ง ผังไพบูลย์</t>
  </si>
  <si>
    <t>การศึกษาอิทธิพลของอนุภาคนาโนของไททาเนียมไดออกไซด์ที่ถูกใช้เป็นวัสดุดูดซับรังสี UV ที่มีต่อผลิตภัณฑ์กันแดดจากสารสกัดสมุนไพรธรรมชาติ</t>
  </si>
  <si>
    <t>วันทนา เกิดนิยม</t>
  </si>
  <si>
    <t>การปรับปรุงวิธีอาณานิคมมดโดยการเริ้มต้นและการปรับปรุงฟีโรโมนสำหรับการแก้ปัญหาการจัดเส้นทางการขนส่งแบบมีกรอบเวลา</t>
  </si>
  <si>
    <t>เฉียบวุฒิ รัตนวิไลสกุล</t>
  </si>
  <si>
    <t>ความสัมพันธ์ระหว่างทักษะทางด้านเทคโนโลยีสารสนเทศกับประสิทธิภาพการทำงานของเจ้าหน้าที่บริหารงานทั่วไปในมหาวิทยาลัยเทคโนโลยีพระจอมเกล้าพระนครเหนือ</t>
  </si>
  <si>
    <t>อาลิษา หุ่นไทย</t>
  </si>
  <si>
    <t>แดชบอร์ดแสดงลายผ้าไทย</t>
  </si>
  <si>
    <t>ปรวัฒน์ วิสูตรศักดิ์</t>
  </si>
  <si>
    <t>วิกานดา ผาพันธ์</t>
  </si>
  <si>
    <t>ตระกูลของตัวประมาณสำหรับประมาณค่าเฉลี่ยประชากรที่ปรับปรุงใหม่โดยใช้การถดถอยที่มีความแกร่งในกรณีที่มีค่าผิดปกติ</t>
  </si>
  <si>
    <t>นวลพรรณ ลอว์สัน</t>
  </si>
  <si>
    <t>การพัฒนาแผนภูมิควบคุมใหม่ MEWMA-Sign Rank และเปรียบเทียบประสิทธิภาพในการตรวจจับการเปลี่ยนแปลงด้วยแผนภูมิควบคุม EWMA, EWMA Sign, EWMA-Sign Rank, MEWMA และ MEWMA Sign</t>
  </si>
  <si>
    <t>เสาวณิต สุขภารังษี</t>
  </si>
  <si>
    <t>ตัวแบบพยากรณ์เพื่อวิเคราะห์การปล่อยก๊าซคาร์บอนไดออกไซต์ในอากาศจำแนกตามภาคเศรษฐกิจที่สำคัญในประเทศไทย</t>
  </si>
  <si>
    <t>เพียรพูล กมลจิตร์ประภา</t>
  </si>
  <si>
    <t>การประมวลผลภาพเพื่อบริหารจัดการขยะในชุมชนเขตกรุงเทพมหานคร</t>
  </si>
  <si>
    <t>ชนนิกานต์ รอดมรณ์</t>
  </si>
  <si>
    <t>ประสิทธิภาพของแผนภูมิควบคุมผลรวมสะสมโดยใช้การประมาณค่าความยาวรันเฉลี่ยสำหรับกระบวนการหน่วยความจำระยะยาว Fractionally Integrated Autoregressive พร้อมตัวแปรนอกระบบ</t>
  </si>
  <si>
    <t>วิลาสินี ปีระจิตร</t>
  </si>
  <si>
    <t>ช่วงความเชื่อมั่นสำหรับค่าเฉลี่ยร่วมของการแจกแจง Gaussian เมื่อไม่ทราบสัมประสิทธิ์การแปรผัน</t>
  </si>
  <si>
    <t>สุภารัตน์ นิวิศพงศ์</t>
  </si>
  <si>
    <t>เพ็ญศรี ชื่นชม</t>
  </si>
  <si>
    <t>การศึกษาประสิทธิภาพการจัดกิจกรรมปฐมนิเทศนักศึกษาใหม่ในรูปแบบออนไลน์ คณะวิทยาศาสตร์ประยุกต์ มหาวิทยาลัยเทคโนโลยีพระจอมเกล้าพระนครเหนือ กรุงเทพมหานคร</t>
  </si>
  <si>
    <t>ศรีวิไล ซุยเจริญ</t>
  </si>
  <si>
    <t>the journal of applied science 
	Vol.20 no.2 ,220 - 242</t>
  </si>
  <si>
    <t>ICSEC 2021 - 25th International Computer Science and Engineering Conference
pp. 448-453</t>
  </si>
  <si>
    <t xml:space="preserve">7th International Conference on Computer and Communications, ICCC 2021
	pp. 1194-1198 </t>
  </si>
  <si>
    <t>The 12th International Symposium on Frontiers in Ambient and Mobile Systems (FAMS 2022)
March 22-25, 2022, Porto, Portugal</t>
  </si>
  <si>
    <t xml:space="preserve"> ICSEC 2021 - 25th International
Computer Science and Engineering Conference
pp. 267-272</t>
  </si>
  <si>
    <t xml:space="preserve">Applied Science and Engineering Progress เมื่อวันที่ 25 มีนาคม 2565 </t>
  </si>
  <si>
    <t xml:space="preserve">ฐานข้อมูล Scopus </t>
  </si>
  <si>
    <t>ICSEC 2021 - 25th International Computer Science and Engineering ConferencePages 155 - 160</t>
  </si>
  <si>
    <t xml:space="preserve">9th IUKM 2022 Lecture Notes in
            Computer Science (including subseries Lecture Notes in Artificial 
            Intelligence and Lecture Notes in Bioinformatics)
	Volume 13199 LNAI, Pages 155 – 166 </t>
  </si>
  <si>
    <t xml:space="preserve">ฐาน scopus </t>
  </si>
  <si>
    <t>ตีพิมพ์ผลงานในวาสารระดับชาติ TCI กลุ่ม 1 วารสารวิชาการพระจอมเกล้าพระนครเหนือ ปีที่ 34 ฉบับที่ 2 เดือนเมษายน-มิถุนายน 2567</t>
  </si>
  <si>
    <t>SCOPUS</t>
  </si>
  <si>
    <t xml:space="preserve">Journal of Hygienic Engineering and 
Design </t>
  </si>
  <si>
    <t>เสียชีวิต</t>
  </si>
  <si>
    <t>International Conference Applied Statistics 2012</t>
  </si>
  <si>
    <t xml:space="preserve">ตีพิมพ์ผลงานในการประชุมวิชาการ International 
Association of Engineers (IAENG) Engineering Letters, 
30:2, 2022 ฐาน Scopus </t>
  </si>
  <si>
    <t>วท 451/2565 (28-6-65)</t>
  </si>
  <si>
    <t>วท 450/2565 (28-06-2565)</t>
  </si>
  <si>
    <t>The Journal of Applied Science Vol. 21 No.1 [2022]: 247376</t>
  </si>
  <si>
    <t>วท 468/2565 5 กรกฎาคม 2565</t>
  </si>
  <si>
    <t xml:space="preserve"> TCI กลุ่มที 1</t>
  </si>
  <si>
    <t>The Journal of Applied Science 
Vol.21 No.1 [2022]: 247274</t>
  </si>
  <si>
    <t>วท 469/2565 5 กรกฎาคม 2565</t>
  </si>
  <si>
    <t>TCI กลุ่มที่ 1</t>
  </si>
  <si>
    <t>Scopus: Q3</t>
  </si>
  <si>
    <t>วท 455/2565</t>
  </si>
  <si>
    <t>วท 450/2565 28 มิถุนายน 2565</t>
  </si>
  <si>
    <t>ตีพิมพ์วารสารวิชาการ ปขมท. ปีที่ 12 ฉบับที่ 1 (มกราคม - เมษายน 2566)</t>
  </si>
  <si>
    <t xml:space="preserve">การประยุกต์ใช้เทคโนโลยีคิวอาร์โค้ดในงานครุภัณฑ์โสตทัศนูปกรณ์ </t>
  </si>
  <si>
    <t>การประยุกต์ใช้เทคโนโลยี QR Code เพื่อควบคุมครุภัณฑ์โสตทัศนูปกรณ์  (ชื่อเดิม)</t>
  </si>
  <si>
    <t>วท507/2565 (20-07-2565)</t>
  </si>
  <si>
    <t>วารสารสังคมศาสตร์ นิติรัฐศาสตร์ 
	คณะนิติรัฐศาสตร์ มหาวิทยาลัยราชภัฏร้อยเอ็ด ปีที่ 6 
	ฉบับที่ 1 มกราคม - มิถุนายน 2565</t>
  </si>
  <si>
    <t>ความสัมพันธ์ระหว่างความเครียดที่เกิดจากการทำงานในช่วงการแพร่ระบาดของโรคติดเชื้อไวรัสโคโรนา (Covid-19) กับความคิดเห็นที่มีผลต่อการปฏิบัติงานในช่วงการแพร่ระบาดของโรคติดเชื้อไวรัสโคโรนา (Covid-19) ของบุคลากรทางด้านการเงินและบัญชีในมหาวิทยาลัยเทคโนโลยีพระจอมเกล้าพระนครเหนือ</t>
  </si>
  <si>
    <t xml:space="preserve">Lobachevskii Journal of Mathematics </t>
  </si>
  <si>
    <t>2022 19th International Conference on Electrical Engineering/Electronics, Computer, Telecommunications and Information Technology (ECTI-CON)</t>
  </si>
  <si>
    <t>วท 555/2565 ส่ง 9 ส.ค.65</t>
  </si>
  <si>
    <t>วท 559/2565 ส่ง 9 ส.ค. 65</t>
  </si>
  <si>
    <t>Applied Science and Engineering Progress</t>
  </si>
  <si>
    <t>SCOPUS (Q3)</t>
  </si>
  <si>
    <t xml:space="preserve">นางจิราวรรณ บวรวงศ์เสถียร </t>
  </si>
  <si>
    <t>วท600/2565 วันที่ 16 สิงหาคม 2565</t>
  </si>
  <si>
    <t>วท601/2565 วันที่ 16 สิงหาคม 2565</t>
  </si>
  <si>
    <t>แพ็กเกจภาษา R สำหรับการแจกแจงแบบผสมแกมมาวางนัยทั่วไป (MGGD: R Package for Mixture Generalized Gamma Distribution)</t>
  </si>
  <si>
    <t>วท687-2565 ส่งการเงิน 29 ก.ย. 65</t>
  </si>
  <si>
    <t>Research, Invention, and Innovation Congress 2022 (RI2C 2021) วท736/2565 ส่ง 25 ต.ค.65</t>
  </si>
  <si>
    <t>ชื่อเดิม การวิเคราะห์การบริหารจัดการงบประมาณเงินรายได้ ระหว่างปีงบประมาณ 2560-2562 คณะวิทยาศาสตร์ประยุกต์ มหาวิทยาลัยเทคโนโลยีพระจอมเกล้าพระนครเหนือ </t>
  </si>
  <si>
    <t xml:space="preserve">การวิเคราะห์การบริหารจัดการงบประมาณเงินรายได้ 
	ระหว่างปีงบประมาณ 2560-2563 คณะวิทยาศาสตร์ประยุกต์ มจพ. </t>
  </si>
  <si>
    <t>JASCI Vol.21 No.1</t>
  </si>
  <si>
    <t>วท845/2565 ลงวันที่ 8 ธันวาคม 2565</t>
  </si>
  <si>
    <t>ที่ประชุมนานาชาติ "2022 Rearch, Innovation, and Innovation Congress (RI2C 2022)"</t>
  </si>
  <si>
    <t>วท 914/2565 ลงวันที่ 28 ธันวาคม 2565</t>
  </si>
  <si>
    <t>วท 915/2565 ลงวันที่ 28 ธันวาคม 2565</t>
  </si>
  <si>
    <t>ใช้ประโยชน์ในการตัดสินใจ</t>
  </si>
  <si>
    <t xml:space="preserve">บริษัท สยามฮาร์ดโครม จำกัด </t>
  </si>
  <si>
    <t>วารสารวิทยาศาสตร์ประยุกต์ Volume 21 No.2 [2022]</t>
  </si>
  <si>
    <t>วารสารสังคมศาสตร์ นิติรัฐศาสตร์ คณะนิติศาสตร์ มหาวิทยาลัยาชภัฏร้อยเอ็ด ปีที่ 6 ฉบับที่ 2 กรกฎาคม-ธันวาคม 2565</t>
  </si>
  <si>
    <t>วท 076/2566 2 กุมภาพันธ์ 2566</t>
  </si>
  <si>
    <t xml:space="preserve">Conference Proceedings indexed by SCOPUS จากงานประชุมวิชาการ 2022 Research, Invention, and Innovation Congress (RI2C 2022) </t>
  </si>
  <si>
    <t>การใช้ประโยชน์ในเชิงสาธารณะ (การพัฒนาคุณภาพชีวิตและเศรษฐกิจของประชาชน การเผยแพร่ความรู้)</t>
  </si>
  <si>
    <t>วท138/2566 21 กพ. 66 ส่งการเงิน 22 กพ. 66</t>
  </si>
  <si>
    <t>Phytochemistry</t>
  </si>
  <si>
    <t>Current Applied Science and Technology</t>
  </si>
  <si>
    <t>materials today: Proceeding Vol.77 (2023) 1064-1067</t>
  </si>
  <si>
    <t>โครงการวิจัย (พื้นฐาน)</t>
  </si>
  <si>
    <t>การจำลองเชิงตัวเลขของสมการการนำ-การแพร่-ปฎิกิริยาโดยวิธีผลต่างสืบเนื่อง</t>
  </si>
  <si>
    <t>ระบบเฝ้าสังเกตสัญญาณไบโอโพเทนเซียลในการฟื้นฟูสรรถภาพโดยใช้วิธีการเรียนรู้เชิงลึกที่มีประสิทธิภาพ</t>
  </si>
  <si>
    <t>วิธีการทางโครงข่ายบนโครงข่ายแบบเฮทเทอโรจีเนียสเพื่อการระบุยีนที่สำคัญ</t>
  </si>
  <si>
    <t>การศึกษาผลของสารยึดติดประเภทแป้งชนิดต่างๆต่อการขึ้นรูปและสมบัติเชิงกลของเฝือกยิปซัม</t>
  </si>
  <si>
    <t>การศึกษาสมบัติของฟิล์มดึงยืดสองทิศทางจากพอลิแลคติกแอซิดผสมสารคู่ควบ</t>
  </si>
  <si>
    <t>การยกระดับมาตรฐานความปลอดภัยด้านระบบการจัดการสารเคมีในห้องปฏิบัติการเคมีทั่วไป 902 
 คณะวิทยาศาสตร์ประยุกต์ มจพ.</t>
  </si>
  <si>
    <t>การศึกษาความพึงพอใจในการใช้เครื่องมือช่วยสอนออนไลน์ที่แตกต่างกันของคณาจารย์
 ภาควิชาเทคโนโลยีอุตสาหกรรมเกษตร อาหาร สิ่งแวดล้อม</t>
  </si>
  <si>
    <t>การหาสภาวะที่เหมาะสมในการใช้ไมโครเวฟช่วยสกัดเพคตินจากฟักข้าว</t>
  </si>
  <si>
    <t>การออกแบบ ประดิษฐ์ และศึกษาทดลองห้องปฏิบัติการบนชิปโดยการสกรีนพริ้น</t>
  </si>
  <si>
    <t>การเคลือบวัสดุผสมระหว่างอนุภาคนาโนซิงค์ออกไซด์กับพอลิเมทิลไซลอกเซนลงบน
 สิ่งทอพอลิเอสเทอร์เพื่อการประยุกใช้ในอุตสาหกรรมยานยนต์</t>
  </si>
  <si>
    <t>การปรับปรุง ขั้นตอนวิธีอาณานิคมมดสำหรับการแก้ปัญหาการวางแผนโครงการที่มีข้อจำกัดด้านทรัพยากรหลายทักษะ</t>
  </si>
  <si>
    <t>การจำแนกบอนสีตามรูปแบบใบด้วยวิธีทรานส์เฟอร์เลินนิ่ง</t>
  </si>
  <si>
    <t>สมการปริพันธ์เชิงตัวเลขของความยาวรันเฉลี่ยบนแผนภูมิควบคุม EWMA สำหรับตัวแบบ ARMAX(1,1) ที่มีตัวแปรภายนอก</t>
  </si>
  <si>
    <t>การแจกแจงความยาวเอนเอียงแมคซเวล-บอลซ์มานแบบใหม่และการประยุกต์ใช้</t>
  </si>
  <si>
    <t>ตระกูลของตัวประมาณสำหรับประมาณค่าเฉลี่ยประชากรที่ปรับปรุงใหม่โดยใช้การแปลงตัวแปรช่วย
 ภายใต้การสุ่มตัวอย่างแบบสองครั้ง</t>
  </si>
  <si>
    <t>สูตรสำเร็จของความยาวรันเฉลี่ยสำหรับแผนภูมิควบคุมค่าเฉลี่ยเคลื่อนที่สำหรับกระบวนการนับที่มี
 ตัวแบบปัวซง INARCH (1)</t>
  </si>
  <si>
    <t>แนวทางสมการปริพันธ์สำหรับความยาวรันเฉลี่ยของการรวมตัวแปรนอกระบบในตัวแบบ 
 Autoregressive Fractionally Integrated ที่มีฤดูกาล</t>
  </si>
  <si>
    <t>แนวทางการพัฒนาคุณภาพการให้บริการแก่นักศึกษาของภาควิชาสถิติประยุกต์ 
 คณะวิทยาศาสตร์ประยุกต์ มหาวิทยาลัยเทคโนโลยีพระจอมเกล้าพระนครเหนือ</t>
  </si>
  <si>
    <t>การพยากรณ์มูลค่าการส่งออกและนำเข้าสินค้าระหว่างประเทศของไทย</t>
  </si>
  <si>
    <t>การวิเคราะห์อนุกรมเวลาฝุ่นละอองขนาดเล็กของกรุงเทพมหานคร ประเทศไทย</t>
  </si>
  <si>
    <t>ช่วงความเชื่อมั่นสำหรับค่ามัธยฐานของการแจกแจงเดลต้าล็อกนอร์มอล</t>
  </si>
  <si>
    <t>การทำงานที่บ้านและแรงจูงใจในการทำงานของบุคลากรทางด้านการเงินและบัญชีใน
 มหาวิทยาลัยเทคโนโลยีพระจอมเกล้าพระนครเหนือ ในช่วงการแพร่ระบาดของโรคติดเชื้อไวรัสโคโรนา (Covid-19)</t>
  </si>
  <si>
    <t>ระบบโปรแกรมฐานข้อมูลเพื่อการอนุรักษ์พลังงาน คณะวิทยาศาสตร์ประยุกต์ มจพ.</t>
  </si>
  <si>
    <t>รศ.ดร.สุรัตนา สังข์หนุน</t>
  </si>
  <si>
    <t>รศ.ดร.อนุชิต จิตพัฒนกุล</t>
  </si>
  <si>
    <t>รศ.ดร.อภิชาต ศุรธณี</t>
  </si>
  <si>
    <t>อ.ดร.นิศาลักษณ์ ตรงศิริวัฒน์</t>
  </si>
  <si>
    <t>รศ.ดร.เกษรารัตน์ อักษรรัตน์</t>
  </si>
  <si>
    <t>ผศ.ดร.เฉียบวุฒิ รัตนวิไลสกุล</t>
  </si>
  <si>
    <t>รศ.ดร.ปรวัฒน์ วิสูตรศักดิ์</t>
  </si>
  <si>
    <t>ผศ.ดร.วิกานดา ผาพันธ์</t>
  </si>
  <si>
    <t>รศ.ดร.นวลพรรณ ลอว์สัน</t>
  </si>
  <si>
    <t>ศ.ดร.เสาวณิต สุขภารังษี</t>
  </si>
  <si>
    <t>ผศ.ดร.วิลาสินี ปีระจิตร</t>
  </si>
  <si>
    <t>นางชรินธร จินดา</t>
  </si>
  <si>
    <t>รศ.ดร.เพียรพูล กมลจิตร์ประภา</t>
  </si>
  <si>
    <t>รศ.ดร.อรไท พลเสน</t>
  </si>
  <si>
    <t xml:space="preserve">รศ.ดร.สุภารัตน์ นิวิศพงศ์ </t>
  </si>
  <si>
    <t xml:space="preserve">ตอบรับตีพิมพ์ในวารสาร Songklanakarin Journal of Science and Technology (SJST)	</t>
  </si>
  <si>
    <t>เผยแพร่ในที่ประชุมวิชาการระดับนานาชาติ ที่มีรายงานสืบเนื่องจากการประชุมวิชาการ (Proceeding)</t>
  </si>
  <si>
    <t>โครงการวิจัยเพื่อขอรับการสนับสนุนทุนวิจัยคณะวิทยาศาสตร์ประยุกต์ งบประมาณเงินรายได้ ประจำปี พ.ศ. 2566</t>
  </si>
  <si>
    <t>23 มี.ค. 2566</t>
  </si>
  <si>
    <t>สว706/2566</t>
  </si>
  <si>
    <t>สว739/2566</t>
  </si>
  <si>
    <t>ใช้ประโยชน์ในเชิงสาธารณะ</t>
  </si>
  <si>
    <t>คืนทุน พร้อมดอกเบี้ย 100000+4654 (5 ต.ค.2558)</t>
  </si>
  <si>
    <t>/คืนทุน พร้อมดอกเบี้ย 70000+3127.02 (27 ก.ค. 2559)</t>
  </si>
  <si>
    <t xml:space="preserve">คืนทุน พร้อมดอกเบี้ย </t>
  </si>
  <si>
    <t>ตีพิมพ์ที่วารสาร Applied Science and Engineering Progress ซึ่งอยู่ในฐานข้อมูล Scopus</t>
  </si>
  <si>
    <t>วท424/2566 วันที่ 31 มีนาคม 2566</t>
  </si>
  <si>
    <t>Royal Thai Army Medical Journal Vol76 No.1 (2023) January-March</t>
  </si>
  <si>
    <t>Journal of Bamrasnaradura Infectious Diseases Institute Vol.17 No.1 January-April</t>
  </si>
  <si>
    <t>Journal of Applied Science and Emerging Technology (JASET) Vol.22 No.1 ฐานข้อมูล TCI กลุ่ม 1</t>
  </si>
  <si>
    <t>ส่งการเงิน 19 พ.ค. 2566 วท 329/2566 ลงวันที่ 18 พ.ค. 2566</t>
  </si>
  <si>
    <t>ส่งการเงิน 19 พ.ค. 2566 วท 324/566 ลงวันที่ 16 พ.ค. 2566</t>
  </si>
  <si>
    <t>ส่งการเงิน 19 พ.ค. 2566 วท 325/2566 ลงวันที่ 16 พ.ค. 2566</t>
  </si>
  <si>
    <t>Journal of Applied Science and Emerging Technology (JASET) Vol.22 No.1 [2023] ในฐานข้อมูล TCI กลุ่มที่ 1</t>
  </si>
  <si>
    <t>มานะงาน</t>
  </si>
  <si>
    <t>ส่งการเงิน 23 พ.ค. 2566 // วท 345/2566</t>
  </si>
  <si>
    <t>นำเสนอในงานประชุมวิชาการระดับนานาชาติ</t>
  </si>
  <si>
    <t>สว 1392/2566</t>
  </si>
  <si>
    <t>30 พ.ค. 2566</t>
  </si>
  <si>
    <t xml:space="preserve">ตอบรับตีพิมพ์ในวารสาร WSEAS TRANSACTIONS on MATHEMATICS	ในฐานข้อมูล Scopus </t>
  </si>
  <si>
    <t>วท378/2566 วันที่ 7 มิถุนายน 2566</t>
  </si>
  <si>
    <t>ส่งการเงิน 7 มิ.ย. 2566</t>
  </si>
  <si>
    <t>สว1864/2566</t>
  </si>
  <si>
    <t>30 มิ.ย. 2566</t>
  </si>
  <si>
    <t>ได้นำผลงานไปใช้ประโยชน์เชิงสาธารณะ (การพัฒนาคุณภาพชีวิต และเศรษฐกิจของประชาชน การเผยแพร่ความรู้)</t>
  </si>
  <si>
    <t>สว1925/2566</t>
  </si>
  <si>
    <t>ประขุมวิชาการ Journal of Physics: Conference Series ในฐาน SCOPUS</t>
  </si>
  <si>
    <t>ส่งการเงิน 6 ก.ค. 66</t>
  </si>
  <si>
    <t xml:space="preserve">รายงานความก้าวหน้า </t>
  </si>
  <si>
    <t>เผยแพร่ในวารสาร Current Applied Science and Technology Vol.23 No.5</t>
  </si>
  <si>
    <t>Journal of Applied Science and Emerging Technology TCI1</t>
  </si>
  <si>
    <t>ผศ.บุญกอง ทะกลโยธิน</t>
  </si>
  <si>
    <t>วท 575/2566 วันที่ 7 สิงหาคม 2566 ส่งการเงิน 9 สิงหาคม 2566</t>
  </si>
  <si>
    <t>วท 576/2566 วันที่ 7 สิงหาคม 2566 ส่งการเงิน 9 สิงหาคม 2566</t>
  </si>
  <si>
    <t>** ขอเปลี่ยนชื่อโครงการ ** เป็น อสมการ Hermite-Hadamard สำหรับแคลคูลัสเชิงผลต่าง q(Hermite-Hadamard Inequality for q-Difference Calculus)  ** ขยายเวลาถึง 31 มี.ค. 66</t>
  </si>
  <si>
    <t>สว 2248.1/2566 วันที่ 7 ส.ค.66</t>
  </si>
  <si>
    <t>สว 2284-2566</t>
  </si>
  <si>
    <t>10 ส.ค. 2566</t>
  </si>
  <si>
    <t>สว 2285-2566</t>
  </si>
  <si>
    <t>Conference APSAC 2023</t>
  </si>
  <si>
    <t>ได้รับการตีพิมพ์ในวารสารนานาชาติFractal and Fractional</t>
  </si>
  <si>
    <t xml:space="preserve">Web of Science และ Scopus </t>
  </si>
  <si>
    <t>สว 2031-2566</t>
  </si>
  <si>
    <t>สว 2309-2566</t>
  </si>
  <si>
    <t>จะส่งบทความเพื่อตีพิมพ์ ภายใน สค. 2566</t>
  </si>
  <si>
    <t>Oral Presentation : The 3rd International Conference on Electrical, Computer, Communications and Mechatronics Engineering (ICECCME 2023) โดยเอกสารประกอบการประชุมตีพิมพ์ใน IEEE Xplore</t>
  </si>
  <si>
    <t>สว 2341.1-2566</t>
  </si>
  <si>
    <t>18 ส.ค. 2566</t>
  </si>
  <si>
    <t>JASCI</t>
  </si>
  <si>
    <t>TCI1</t>
  </si>
  <si>
    <t>;m 610/2566 วันที่ 21 สิงหาคม 2566</t>
  </si>
  <si>
    <t>ส่งการเงิน 22 ส.ค. 2566</t>
  </si>
  <si>
    <t xml:space="preserve">เรื่อง การสังเคราะห์อะลูมิเนียมออกไซด์พิลลาร์เคลย์อินเพรกเนตด้วยแพลเลเดียมคลอไรด์สำหรับปฏิกิริยารีดักชันของไนโตรเบนซีน </t>
  </si>
  <si>
    <t xml:space="preserve">ชื่อเดิม การสังเคราะห์อะลูมิเนียมออกไซด์พิลลาร์เคลย์อินเพรกเนตด้วยโลหะคลอไรด์สำหรับปฏิกิริยาที่ใช้กกดเร่ง ได้รับการตีพิมพ์ในวารสารนานาชาติ Key Engineering Materials ในฐานข้อมูล SCOPUS </t>
  </si>
  <si>
    <t xml:space="preserve">ตีพิมพ์ในวารสารนานาชาติ International Journal of Engineering and Innovative Technology (IJEIT) </t>
  </si>
  <si>
    <t>สว 2390.1/2566</t>
  </si>
  <si>
    <t>23 ส.ค. 2566</t>
  </si>
  <si>
    <t>ส่งการเงิน 29 ส.ค. 66</t>
  </si>
  <si>
    <t>2023 Research, Invention, and Innovation Congress (RI2C 2023)</t>
  </si>
  <si>
    <t>Scopus (IEEE Xplore)</t>
  </si>
  <si>
    <t>World Conference on Information Systems for Business Management (ISBM 2023), Bangkok, September 7-8, 2023</t>
  </si>
  <si>
    <t>สว 2511.2-2566</t>
  </si>
  <si>
    <t>5 ก.ย. 2566</t>
  </si>
  <si>
    <t>สว 2511.4-2566</t>
  </si>
  <si>
    <t>สว 2511.3-2566</t>
  </si>
  <si>
    <t>ขยายถึง 31 มี.ค. 2567</t>
  </si>
  <si>
    <t>ขยายถึง 31 ธ.ค. 2566</t>
  </si>
  <si>
    <t>ขยายถึง 29 ธ.ค. 2566</t>
  </si>
  <si>
    <t>ขยายถึง 30 ก.ย. 2567</t>
  </si>
  <si>
    <t>วท 672-2566 วันที่ 6 ก.ย. 66 ส่งการเงิน 7 ก.ย. 66</t>
  </si>
  <si>
    <t>ขยายถึง 31 ม.ค. 2568</t>
  </si>
  <si>
    <t>ประชุมวิชาการระดับนานาชาติ Research, Invention, and  Innovation Congress 2023 (RI2C 2023)</t>
  </si>
  <si>
    <t>สว 2582.2-2566</t>
  </si>
  <si>
    <t>13 ก.ย. 2566</t>
  </si>
  <si>
    <t>ขอคืนทุน</t>
  </si>
  <si>
    <t>รศ.ดร.ชานนท์ พรมสกล</t>
  </si>
  <si>
    <t>ขยายถึง 31 ต.ค. 2567</t>
  </si>
  <si>
    <t>ขยายถึง 30 เม.ย. 2567</t>
  </si>
  <si>
    <t>ขยายถึง 31 ม.ค. 2567</t>
  </si>
  <si>
    <t>ขยายถึง 29 ธ.ค. 2567</t>
  </si>
  <si>
    <t xml:space="preserve">ตีพิมพ์ในวารสาร ระดับนานาชาติ 2023 8th International Conference on Computational Intelligence and Application (ICCIA 2023) </t>
  </si>
  <si>
    <t>E3S Web of Conference 	(Proceedings)</t>
  </si>
  <si>
    <t>ชื่อใหม่ "การวิเคราะห์สมรรถนะกระบวนการผลิตไบโอออยล์ ไบโอออยล์อัพเกรด การผลิตไฮโดรเจนจากกากตะกอน"</t>
  </si>
  <si>
    <t>ชื่อใหม่ "การควบคุมการปลดปล่อยสารสกัดมะหาดโดยบรรจุร่วมกับสารลดแรงตึงผิวสแปน-80 บนเดนไดรทริคไฟบรัสซิลิกา"</t>
  </si>
  <si>
    <t xml:space="preserve">ตีพิมพ์ในวารสาร Key Engineering Materials (Proceedings) </t>
  </si>
  <si>
    <t>วท 729/2566 วันที่ 28 ก.ย. 66</t>
  </si>
  <si>
    <t>วท 728/2566 วันที่ 28 ก.ย. 66</t>
  </si>
  <si>
    <t>สว 2794-2566</t>
  </si>
  <si>
    <t>29 ก.ย. 2566</t>
  </si>
  <si>
    <t>สว 2820-2566</t>
  </si>
  <si>
    <t>สว 2868/2566</t>
  </si>
  <si>
    <t>อยู่ระหว่างการเขียนโปรแกรม 45%</t>
  </si>
  <si>
    <t>ตีพิมพ์ในวารสารวิชาการนานาชาติ KSII Transactions on Internet and Information Systems</t>
  </si>
  <si>
    <t>ขยายถึง 31 ต.ค. 2566 / รอคืนทุน รอคุยเรื่องดอกเบี้ย</t>
  </si>
  <si>
    <t xml:space="preserve">Materials Science Forum ISSN: 1662-9752 </t>
  </si>
  <si>
    <t>วท 805/2566</t>
  </si>
  <si>
    <t xml:space="preserve">ตีพิมพ์ในวารสาร Engineering Letters ฐานข้อมูล SCOPUS </t>
  </si>
  <si>
    <t>รศ..ดร.</t>
  </si>
  <si>
    <t>ได้รับการตอบรับการตีพิมพ์ในวารสารวิชาการระดับนานาชาติ Food Research Jounal</t>
  </si>
  <si>
    <t>วท 853-2566 วันที่ 29 พฤศจิกายน 2566</t>
  </si>
  <si>
    <t>วท 825-2566 วันที่ 21 พ.ย. 66</t>
  </si>
  <si>
    <t>ตีพิมพ์เผยแพร่ในวารสาร
	ระดับนานาชาติ Food Bioscience</t>
  </si>
  <si>
    <t xml:space="preserve">ตีพิมพ์ในที่ประชุมวิชาการ
	2023 Research, Invention, and Innovation Congress:
	Innovation Electricals and Electronics (RI2C) </t>
  </si>
  <si>
    <t>ตีพิมพ์ในวารสารวิชาการระดับนานาชาติ The Pure and Applied Chemistry International Conference 2024 (PACCON2024)</t>
  </si>
  <si>
    <t>วท 170-2567 ส่ง 27 ก.พ. 67</t>
  </si>
  <si>
    <t>เข้าร่วมนำเสนอผลงานทางวิชาการในรูปแบบโปสเตอร์ของการประชุมวิชาการระดับชาติ  The National Conference on Science Technology and Innovation 2024 (NCSTI2024)</t>
  </si>
  <si>
    <t>เลขที่สัญญา</t>
  </si>
  <si>
    <t>การปรับปรุงคุณสมบัติทางกายภาพและทางเคมีของเปลือกทุเรียนด้วยเทคนิคทอร์รีแฟคชันภายใต้ความดันเชิงกลเพื่อผลิตเป็นถ่านชีวภาพคุณภาพสูง</t>
  </si>
  <si>
    <t>โครงการวิจัยพื้นฐาน</t>
  </si>
  <si>
    <t>อาจารย์ ดร.สุพาชัย เจษฎาเจิม</t>
  </si>
  <si>
    <t>80,000.00</t>
  </si>
  <si>
    <t>การศึกษาองค์ประกอบทางเคมีของรากช้างน้าวและฤทธิ์การยับยั้งมะเร็ง</t>
  </si>
  <si>
    <t>อาจารย์ ดร.อวัช วิเศษสัย</t>
  </si>
  <si>
    <t>ความสามารถในการออกฤทธิ์ทางชีวภาพโดยการทดสอบทางเคมีและในระดับเซลล์ และคุณสมบัติด้านกลิ่นรสของโปรตีนถั่วเขียวด้วยปฏิกิริยาไกลเคชัน</t>
  </si>
  <si>
    <t>อาจารย์ ดร.ชนิกานต์ ซ่อนกลิ่น</t>
  </si>
  <si>
    <t>การศึกษาฤทธิ์การต้านอนุมูลอิสระและประสิทธิผลการให้ความชุ่มชื้นผิวของพอลิแซ็กคาไรด์จากสารสกัดเปลือกถั่วเขียวที่เป็นพลอยได้จากอุตสาหกรรม</t>
  </si>
  <si>
    <t>ผู้ช่วยศาสตราจารย์ ดร.คงอภิสิทธิ์ ทองพูนสมจิตถ์</t>
  </si>
  <si>
    <t>การเตรียมนาโนอิมัลชันสูตรพื้นแบบพร้อมใช้สำหรับสารออกฤทธิ์ทางเครื่องสำอาง</t>
  </si>
  <si>
    <t>ผู้ช่วยศาสตราจารย์ ดร.สุกัญญา เทพวาที</t>
  </si>
  <si>
    <t>การพัฒนาผลิตภัณฑ์ทำความสะอาดผิวหนัง จากสารสกัดน้ำมันมะพร้าวด้วยวิธีการต่าง ๆ</t>
  </si>
  <si>
    <t>การศึกษาและพัฒนาตัวเร่งปฏิกิริยานิกเกิลบนตัวรองรับอะลูมินาที่ปรับปรุงด้วยโลหะผสมออกไซด์สำหรับใช้งานก๊าซเรือนกระจก</t>
  </si>
  <si>
    <t>รองศาสตราจารย์ ดร.มนฤดี ผ่องอักษร</t>
  </si>
  <si>
    <t>การคัดกรองเสมือนจริงเพื่อหาค้นหาสารผลิตภัณฑ์ธรรมชาติที่มีศักยภาพต้านโรครากเน่าในทุเรียน</t>
  </si>
  <si>
    <t>ผู้ช่วยศาสตราจารย์ ดร.จิราภรณ์ ยงพิศาลภพ</t>
  </si>
  <si>
    <t>การค้นหาสารแซนโทนที่มีความเป็นพิษต่อเซลล์มะเร็งจากกิ่งชะมวง</t>
  </si>
  <si>
    <t>ผู้ช่วยศาสตราจารย์ ดร.สุทิน แก่นนาคำ</t>
  </si>
  <si>
    <t>การพัฒนาโดเมนแอนทิบอดิต่อ JAK-2 ที่สามารถผ่านเข้าเซลล์ได้เพื่อศึกษาฤทธิ์ต้านอาการปอดอักเสบ</t>
  </si>
  <si>
    <t>ผู้ช่วยศาสตราจารย์ ดร.ฤชา ทับทิมใหม่</t>
  </si>
  <si>
    <t>การผลิตแมนโนโอลิโกแซคคาไรด์จากกากกาแฟเพื่อการประยุกต์ใช้เป็นพรีไบโอติก</t>
  </si>
  <si>
    <t>อาจารย์ ดร.วนารัตน์ ภาคีนุยะ</t>
  </si>
  <si>
    <t>การตรึง Saccharomyces cerevisiae บนแบคทีเรียเซลลูโลสสำหรับการหมักไบโอเอทานอล</t>
  </si>
  <si>
    <t>อาจารย์ ดร.อานนท์ ขำแก้ว</t>
  </si>
  <si>
    <t>ห้องปฏิบัติการบนชิปชนิดหมึกพิมพ์นำไฟฟ้าโดยการสกรีนพริ้น</t>
  </si>
  <si>
    <t>รองศาสตราจารย์ ดร.เกษรารัตน์ อักษรรัตน์</t>
  </si>
  <si>
    <t>การพัฒนาดัดแปรผิวหน้าขั้วไฟฟ้าพิมพ์สกรีนคาร์บอนด้วยพอลิกลูตามิกแอซิดและอนุภาคแม่เหล็ก-แมกนีไทต์นาโนสำหรับการหาปริมาณโลหะหนักในตัวอย่างดินและน้ำ</t>
  </si>
  <si>
    <t>ผู้ช่วยศาสตราจารย์ ดร.ปณกมล ทองหล่อ</t>
  </si>
  <si>
    <t>พฤติกรรมของฟิล์มบางพอลิสไตรีนที่เคลือบบนชั้นผลึกซิงค์ออกไซด์ที่ปลูกบนฐานรองซิลิกอน</t>
  </si>
  <si>
    <t>ผู้ช่วยศาสตราจารย์ ดร.น้ำผึ้ง ผังไพบูลย์</t>
  </si>
  <si>
    <t>Fravonoid Extraction from Mango Peels for Nanoparticles by Green Synthesis Process</t>
  </si>
  <si>
    <t>ผู้ช่วยศาสตราจารย์ ดร.วันทนา เกิดนิยม</t>
  </si>
  <si>
    <t>การพัฒนาอุปกรณ์ตรวจสอบคุณภาพอากาศแบบเครือข่าย</t>
  </si>
  <si>
    <t>ผู้ช่วยศาสตราจารย์ ดร.สุกัญญา ฉัตรภูติ</t>
  </si>
  <si>
    <t>การออกแบบและพัฒนาระบบเตียงอัจฉริยะสำหรับตรวจจับท่านอนของผู้ป่วยสูงอายุ</t>
  </si>
  <si>
    <t>รองศาสตราจารย์ ดร.สุเมธ อ่ำชิต</t>
  </si>
  <si>
    <t>สายอากาศแพทซ์วงรีโพลาไรซ์วงกลมร่วมกับสตริปขดแนวนอนสำหรับเครื่องอ่านข้อมูลอาร์เอฟไอดียูเอชเอฟสากล</t>
  </si>
  <si>
    <t>รองศาสตราจารย์ ดร.นนชณัต ฉัตรภูติ</t>
  </si>
  <si>
    <t>วิธีทางการคำนวณเพื่อบ่งชี้ความสัมพันธ์ระหว่างยาและเป้าหมาย</t>
  </si>
  <si>
    <t>รองศาสตราจารย์ ดร.อภิชาต ศุรธณี</t>
  </si>
  <si>
    <t>70,000.00</t>
  </si>
  <si>
    <t>การเพิ่มประสิทธิภาพและความสามารถการอธิบายของการรู้จำกิจกรรมของมนุษย์จากข้อมูลเซนเซอร์</t>
  </si>
  <si>
    <t>รองศาสตราจารย์ ดร.อนุชิต จิตพัฒนกุล</t>
  </si>
  <si>
    <t>การหาคำตอบแม่นตรงของสมการ Combined Zakharov-Kuznetsov- modified Zakharov-Kuznetsov อันดับเศษส่วนโดยวิธีที่น่าเชื่อถือ</t>
  </si>
  <si>
    <t>รองศาสตราจารย์ ดร.เสกสรร สิริทรัพย์ทวี</t>
  </si>
  <si>
    <t>กรอบการตรวจสอบภายในด้านการควบคุมเฉพาะระบบงานสำหรับระบบการบริหารจัดการองค์กรขนาดใหญ่: การทบทวนวรรณกรรมอย่างเป็นระบบ</t>
  </si>
  <si>
    <t>ผู้ช่วยศาสตราจารย์ ดร.ศักดิ์ชาย ตั้งประเสริฐ</t>
  </si>
  <si>
    <t>แก้ไขการเลือกคุณสมบัติด้วยขั้นตอนวิธีหาค่าเหมาะสมที่สุดแบบกลุ่มอนุภาคแบบทวิภาคเพื่อใช้ขั้นตอนวิธีหาค่าเหมาะสมที่สุดแบบกลุ่มอนุภาคในการแก้ตัวเลขที่เขียนด้วยลายมือ</t>
  </si>
  <si>
    <t>ผู้ช่วยศาสตราจารย์ ดร.เฉียบวุฒิ รัตนวิไลสกุล</t>
  </si>
  <si>
    <t>การแก้ปัญหาการจัดการพอร์ตการลงทุนในหุ้นระยะยาว ด้วยขั้นตอนวิธีเชิงพันธุกรรม และการหาค่าที่เหมาะสมที่สุดด้วยวิธีอาณานิคมมด</t>
  </si>
  <si>
    <t>รองศาสตราจารย์ ดร.ปรวัฒน์ วิสูตรศักดิ์</t>
  </si>
  <si>
    <t>การพัฒนาระบบถาม-ตอบบทเรียนด้วยการประมวลผลภาษาธรรมชาติ</t>
  </si>
  <si>
    <t>รองศาสตราจารย์ ดร.กฤดาภัทร สีหารี</t>
  </si>
  <si>
    <t>การพิสูจน์ตัวตนด้วยเส้นโค้งโคจรจังหวะพิมพ์ 3 มิติ</t>
  </si>
  <si>
    <t>รองศาสตราจารย์ ดร.ธนภัทร์ อนุศาสน์อมรกุล</t>
  </si>
  <si>
    <t>ตระกูลของตัวประมาณค่าเฉลี่ยประชากรในการเลือกตัวอย่างสุ่มอย่างง่ายแบบมีชั้นภูมิ กรณีศึกษาข้อมูลฝุ่นละอองในภาคเหนือของประเทศไทย</t>
  </si>
  <si>
    <t>รองศาสตราจารย์ ดร.นวลพรรณ ลอว์สัน</t>
  </si>
  <si>
    <t>ปัจจัยที่ส่งผลต่อประสิทธิภาพในการปฏิบัติงานของเจ้าหน้าที่บริหารงานทั่วไป มหาวิทยาลัยเทคโนโลยีพระจอมเกล้าพระนครเหนือ</t>
  </si>
  <si>
    <t>ช่วงความเชื่อมั่นสำหรับอัตราส่วนค่าสัมประสิทธิ์การแปรผันของการแจกแจงเดลต้าแกมมา</t>
  </si>
  <si>
    <t>รองศาสตราจารย์ ดร.สุภารัตน์ นิวิศพงศ์</t>
  </si>
  <si>
    <t>ประสิทธิภาพของแผนภูมิควบคุม CUSUM สำหรับตรวจจับการเปลี่ยนแปลงในกระบวนการการถดถอยในตัวที่มีแนวโน้ม</t>
  </si>
  <si>
    <t>ผู้ช่วยศาสตราจารย์ ดร.คณิตา เพ็ชรัตน์</t>
  </si>
  <si>
    <t>แผนภูมิควบคุมค่าเฉลี่ยเคลื่อนที่สองครั้งสำหรับข้อมูลอนุกรมเวลาที่มีตัวแบบปัวซง INARCH(1)</t>
  </si>
  <si>
    <t>ศาสตราจารย์ ดร.เสาวณิต สุขภารังษี</t>
  </si>
  <si>
    <t>ตัวแบบอนุกรมเวลาปริมาณน้ำไหลเข้าอ่างเก็บน้ำในประเทศไทย</t>
  </si>
  <si>
    <t>รองศาสตราจารย์ ดร.อรไท พลเสน</t>
  </si>
  <si>
    <t>แบบจำลอง SARIMAX แบบผสมผสานร่วมกับโครงข่ายประสาทเทียมสำหรับการพยากรณ์การเติบโตของอุตสาหกรรมประกันชีวิตในประเทศไทย</t>
  </si>
  <si>
    <t>รองศาสตราจารย์ ดร.วิกานดา ผาพันธ์</t>
  </si>
  <si>
    <t>ปริพันธ์เชิงตัวเลข Gauss–Legendre สำหรับความยาวรันเฉลี่ยทำงานบนแผนภูมิควบคุม EWMA ด้วยกระบวนการ MAX ที่รวมเป็นเศษส่วน</t>
  </si>
  <si>
    <t>ผู้ช่วยศาสตราจารย์ ดร.วิลาสินี ปีระจิตร</t>
  </si>
  <si>
    <t>การพัฒนาสูตรความยาวรันเฉลี่ยของแผนภูมิควบคุม EWMA ภายใต้ตัวแบบ AR(1) with Quadratic Trend สำหรับการตรวจจับและติดตามความผันแปรในกระบวนการ</t>
  </si>
  <si>
    <t>รองศาสตราจารย์ ดร.สุวิมล พันธ์แย้ม</t>
  </si>
  <si>
    <t>ความสัมพันธ์ระหว่างการวางแผนการปฏิบัติงานกับประสิทธิภาพการทำงานของบุคลากรทางด้านการเงินและบัญชีมหาวิทยาลัยเทคโนโลยีพระจอมเกล้าพระนครเหนือ</t>
  </si>
  <si>
    <t>ตีพิมพ์ในวารสาร WSEAS Transactions on Business and Economics</t>
  </si>
  <si>
    <t>null</t>
  </si>
  <si>
    <t>ตีพิมพ์ในวารสาร WSEAS Transactions on Mathematics</t>
  </si>
  <si>
    <t>ตีพิมพ์ในวารสารนานาชาติ The 2024 International Electrical Engineering Congress (iEECON2024)</t>
  </si>
  <si>
    <t>ตีพิมพ์ในวารสาร WSEAS Transactions on Computer Research</t>
  </si>
  <si>
    <t>ส่งการเงิน 4 เม.ย. 2567 วท 278-2567</t>
  </si>
  <si>
    <t>ผลงานวิจัยได้เผยแพร่ในงานประชุมวิชาการระดับนานาชาติ “2024 Joint International Conference on Digital Arts, Media and Technology with ECTI Northern Section Conference on Electrical, Electronics, Computer and Telecommunications Engineering (ECTI DAMT &amp; NCON)”</t>
  </si>
  <si>
    <t xml:space="preserve">SCOPUS (IEEE Xplore) </t>
  </si>
  <si>
    <t>ตีพิมพ์ในวารสารวิชาการ
	ระดับนานาชาติ Applied Science and Engineering Progress</t>
  </si>
  <si>
    <t>9 เม.ย. 67</t>
  </si>
  <si>
    <t>ขยายถึง ธันวาคม 2567</t>
  </si>
  <si>
    <t>1318-2567</t>
  </si>
  <si>
    <t>1319-2567</t>
  </si>
  <si>
    <t>Applied Science and Engineering Progress ในฐานข้อมูล SCOPUS</t>
  </si>
  <si>
    <t>เผยแพร่ในที่ประชุมวิชาการระดับนานาชาติที่มีรายงานสืบเนื่องจากการประชุมวิชาการ (Proceeding)</t>
  </si>
  <si>
    <t>17/6/1967 สว 1641-2567</t>
  </si>
  <si>
    <t>ที่ประชุมวิชาการระดับนานาชาติ</t>
  </si>
  <si>
    <t>26 มิ.ย. 67 สว 1770-2567</t>
  </si>
  <si>
    <t>TCI2</t>
  </si>
  <si>
    <t>วารสารวิทยาการจัดการ มหาวิทยาลัยราชภัฏสกลนคร</t>
  </si>
  <si>
    <t>มทร.อีสาน ฉบับมนุษยศาสตร์และสังคมศาสตร์ ปีที่ 11 ฉบับที่ 2 (กรกฎาคม - ธันวาคม 2567)</t>
  </si>
  <si>
    <t>8/7/1967 สว 1912-2567</t>
  </si>
  <si>
    <t>Oral Presentation ในการประชุมวิชาการนานาชาติ “The 9th International Conference on Information and Education Innovations (ICIEI 2024)” โดยเอกสารประกอบการประชุมได้ตีพิมพ์ใน ACM</t>
  </si>
  <si>
    <t xml:space="preserve">ตอบรับตีพิมพ์ในวารสาร Journal of Electrical Systems </t>
  </si>
  <si>
    <t>SCOPUS (Q4)</t>
  </si>
  <si>
    <t xml:space="preserve">Vol. 17 No. 3 </t>
  </si>
  <si>
    <t xml:space="preserve">ตีพิมพ์ในวารสาร Applied Science and Engineering Progress Vol. 17 No. 3 </t>
  </si>
  <si>
    <t>ตอบรับตีพิมพ์ในวารสารระดับชาติ Journal of Food Health and Bioenvironmental Science ฐานข้อมูล TCI1</t>
  </si>
  <si>
    <t>ที่ประชุมวิชาการระดับนานาชาติ The 5th Research, Invention, and Innovation Congress (RI2C 2024)</t>
  </si>
  <si>
    <t>4 ก.ย. 67 สว 2425-2567</t>
  </si>
  <si>
    <t>วารสาร Results in Engineering</t>
  </si>
  <si>
    <t>Scopus Q1</t>
  </si>
  <si>
    <t>สว 2453-2567</t>
  </si>
  <si>
    <t>JASET</t>
  </si>
  <si>
    <t>หนังสือรับรองการใช้ประโยชน์</t>
  </si>
  <si>
    <t>21st International Conference on Electrical Engineering/Electronics, Computer, Telecommunications and Information Technology, ECTI-CON 2024</t>
  </si>
  <si>
    <t>ตอบรับตีพิมพ์ในวารสาร WSEAS Transactions on Systems</t>
  </si>
  <si>
    <t>WSEAS Transactions on Mathematics</t>
  </si>
  <si>
    <t>Materials Science Forum</t>
  </si>
  <si>
    <t>ตอบรับตีพิมพ์ในวารสาร Solid State Phenomena</t>
  </si>
  <si>
    <t xml:space="preserve">วารสารวิทยาศาสตร์บูรพา Vol.29 No.1, 310-326 </t>
  </si>
  <si>
    <t>1 ต.ค. 67 สว 2525-2567</t>
  </si>
  <si>
    <t>1  ต.ค. 67 สว 2745.1-2567</t>
  </si>
  <si>
    <t>10 ต.ค. 67 สว 2853-2567</t>
  </si>
  <si>
    <t>ตีพิมพ์ในวารสาร Natural Product Research</t>
  </si>
  <si>
    <t>SCOPUS Q1</t>
  </si>
  <si>
    <t>ขอขยายเวลา 6 เดือน ตั้งแต่วันที่ 1 ตค. 67 - 30 มีค. 68</t>
  </si>
  <si>
    <t>สว 2954-2567 / 18 ต.ค. 67</t>
  </si>
  <si>
    <t>นำไปใช้ประโยชน์ในเชิงนโยบาย
(การประกาศใช้กฎหมาย กำหนดมาตรการ/กฎเกณฑ์ขององค์กร)</t>
  </si>
  <si>
    <t>22 พ.ย. 67</t>
  </si>
  <si>
    <t>6 ม.ค. 68 สว 3583-2567</t>
  </si>
  <si>
    <t>ตอบรับตีพิมพ์ในวารสาร Current Applied Science ang Technology</t>
  </si>
  <si>
    <t>สว 0171-2568 22 ม.ค. 68</t>
  </si>
  <si>
    <t>เล่มการประชุมวิชาการ Fifth Internation Conference on Control, Robotics, and Intelligent System, CCRIS 2024</t>
  </si>
  <si>
    <t>สว 0194.1-2568 24 ม.ค. 68</t>
  </si>
  <si>
    <t>วารสารวิชาการพระจอมเกล้าพระนครเหนือ</t>
  </si>
  <si>
    <t>TCI 1</t>
  </si>
  <si>
    <t>sci-680008</t>
  </si>
  <si>
    <t>ศักยภาพความเป็นโพรไบโอติกและความสามารถในการผลิตไฟเตสของยีสต์คัดแยกจากลูกแป้ง</t>
  </si>
  <si>
    <t>รศ.ดร.ศิริขวัญ ทินรัตน์</t>
  </si>
  <si>
    <t>sci-680015</t>
  </si>
  <si>
    <t>อิทธิพลของวิธีการสกัดต่อคุณสมบัติเคมีกายภาพและการออกฤทธิ์ต่อระบบภูมิคุ้มกันของพอลิแซคคาไรด์จากกากถั่วเขียว</t>
  </si>
  <si>
    <t>ผศ.ดร.ศรัณยา เศรษฐธนนันท์</t>
  </si>
  <si>
    <t>sci-680019</t>
  </si>
  <si>
    <t>การศึกษาสภาวะเครียดออกซิเดชั่นที่ส่งผลต่อการทำลายดีเอ็นเอด้วยเทคนิค in vivo</t>
  </si>
  <si>
    <t>นางสาวสุนทรี คำก้อนแก้ว</t>
  </si>
  <si>
    <t>sci-680041</t>
  </si>
  <si>
    <t>คุณสมบัติทางกายภาพและการออกฤทธิ์ต้านอนุมูลอิสระของมาส์กใต้ตาไฮโดรเจลจากเกล็ดปลา</t>
  </si>
  <si>
    <t>ผศ.ดร.เบญจมาภรณ์ วงศ์อนุ</t>
  </si>
  <si>
    <t>sci-680007</t>
  </si>
  <si>
    <t>ระบบการแยกผลึกระดับนาโนเมตรของเซลลูโลสด้วยกระแสไฟฟ้า</t>
  </si>
  <si>
    <t>ผศ.ดร.เทวารักษ์ ปานกลาง</t>
  </si>
  <si>
    <t>sci-680017</t>
  </si>
  <si>
    <t>การพัฒนาวัสดุปิดแผลชนิดเหลวเพื่อต้านเชื้อแบคทีเรีย</t>
  </si>
  <si>
    <t>ผศ.ดร.เสาวภา ถ้ำสิงห์ นิยมไทย</t>
  </si>
  <si>
    <t>sci-680023</t>
  </si>
  <si>
    <t>การศึกษาคุณสมบัติเชิงแสงของอนุพันธ์ของเฮทเทอโรไซคลิก 4-ไฮดรอกซิลซไตริล สำหรับการประยุกต์ใช้เพื่อตอบสนองต่อความหนืดและการถ่ายภาพเซลล์มะเร็ง</t>
  </si>
  <si>
    <t>อ.ดร.อรณิชา ไข่เกษ</t>
  </si>
  <si>
    <t>sci-680024</t>
  </si>
  <si>
    <t>ผงสีสำหรับเครื่องสำอางที่ยั่งยืนและเป็นมิตรกับสิ่งแวดล้อมที่เตรียมจากกระบวนการสร้างสีร่วมของแอนโธไซยานินจากดอกอัญชันกับแคลเซียมและอลูมิเนียมไอออน</t>
  </si>
  <si>
    <t>sci-680032</t>
  </si>
  <si>
    <t>การสังเคราะห์ทองคำนาโนด้วยวิธีทางชีวภาพ เพื่อประยุกต์ใช้ในเครื่องสำอาง</t>
  </si>
  <si>
    <t>ผศ.ดร.ณคเดช ยังวิลัย</t>
  </si>
  <si>
    <t>sci-680036</t>
  </si>
  <si>
    <t>การศึกษาการกักเก็บสารหอมด้วยซีโอไลต์</t>
  </si>
  <si>
    <t>ผศ.ดร.สุกัญญา เทพวาที</t>
  </si>
  <si>
    <t>sci-680040</t>
  </si>
  <si>
    <t>เซนเซอร์เคมีไฟฟ้าด้วยเทคนิคการพิมพ์พอลิเมอร์ลอกแบบโมเลกุลสำหรับการประยุกต์ใช้งานทางด้านสิ่งแวดล้อม</t>
  </si>
  <si>
    <t>ผศ.ดร.วรนุช สมส่งกุล</t>
  </si>
  <si>
    <t>sci-680044</t>
  </si>
  <si>
    <t>การปรับปรุงคุณสมบัติทางกายภาพและทางเคมีของเปลือกทุเรียนด้วยเทคนิคทอร์รีแฟคชันภายใต้ความดันเชิงกลเพื่อผลิตคาร์บอนแข็ง</t>
  </si>
  <si>
    <t>ผศ.ดร.สุพาชัย เจษฎาเจิม</t>
  </si>
  <si>
    <t>sci-680016</t>
  </si>
  <si>
    <t>การระบุชีวโมเลกุลเป้าหมายสำคัญของเชื้อวัณโรคที่ปนเปื้อนในสิ่งแวดล้อมและตัวยับยั้งชีวภาพด้วยวิธีทางคอมพิวเตอร์</t>
  </si>
  <si>
    <t>ผศ.ดร.จิราภรณ์ ยงพิศาลภพ</t>
  </si>
  <si>
    <t>ภาควิชาเทคโนโลอุตสาหกรรมเกษตร อาหารและสิ่งแวดล้อม</t>
  </si>
  <si>
    <t>sci-680025</t>
  </si>
  <si>
    <t>การพัฒนาบะหมี่ปราศจากกลูเตนด้วยแป้งมันเทศเนื้อสีส้ม (Ipomoea batatas L.) เสริมผงผักโขม (Amaranthus viridis L.)</t>
  </si>
  <si>
    <t>อ.ดร.ฐสรรพร แสงสุขเอี่ยม</t>
  </si>
  <si>
    <t>sci-680047</t>
  </si>
  <si>
    <t>การพัฒนาโครงสร้างจากวัสดุพิมพ์สามมิติสำหรับการเพิ่มประสิทธิภาพของแผ่นอภิวัสดุในระบบ 5G</t>
  </si>
  <si>
    <t>รศ.ดร.นนชณัต ฉัตรภูติ</t>
  </si>
  <si>
    <t>sci-680005</t>
  </si>
  <si>
    <t>การดัดแปลงขั้นตอนวิธีหาค่าเหมาะสมที่สุดแบบกลุ่มอนุภาคและการเรียนรู้ของเครื่องสำหรับการแก้ปัญหาอักขระภาษาอังกฤษที่เขียนด้วยลายมือ</t>
  </si>
  <si>
    <t>sci-680006</t>
  </si>
  <si>
    <t>การสร้างตัวแบบการพยากรณ์สภาพภูมิอากาศด้วยวิธีค่าเฉลี่ยเคลื่อนที่และการถดถอยแบบพหุนาม</t>
  </si>
  <si>
    <t>sci-680018</t>
  </si>
  <si>
    <t>การพัฒนาอัลกอริทึมแฮชพื้นฐานโดยประยุกต์ใช้สมการเคออสแมปสำหรับการเพิ่มประสิทธิภาพความปลอดภัยของอุปกรณ์ IoT</t>
  </si>
  <si>
    <t>อ. ดร.ณัฐกิตติ์ จิตรเอื้อตระกูล</t>
  </si>
  <si>
    <t>sci-680014</t>
  </si>
  <si>
    <t>การจัดเรียงข้อความแบบขนานโดยใช้หน่วยประมวลผลหลายแกนบนสถาปัตยกรรม ARM</t>
  </si>
  <si>
    <t>ผศ.ดร.อภิสิทธิ์ รัตนาตรานุรักษ์</t>
  </si>
  <si>
    <t>sci-680049</t>
  </si>
  <si>
    <t>การพัฒนาแบบจำลองเชิงคาดการณ์เพื่อวินิจฉัยและทำนายสภาวะสุขภาพเครื่องจักรสำหรับการบำรุงรักษาเชิงป้องกัน</t>
  </si>
  <si>
    <t>ดร.ธรรศฏภณ สุระศักดิ์</t>
  </si>
  <si>
    <t>sci-680002</t>
  </si>
  <si>
    <t>การเพิ่มประสิทธิภาพโครงข่ายประสาทเชิงลึกด้วยวิธีการเรียนรู้แบบรวมกลุ่มสำหรับการรู้จำกิจกรรมของมนุษย์ที่มีความซับซ้อนโดยใช้เซนเซอร์จากอุปกรณ์สวมใส่</t>
  </si>
  <si>
    <t>sci-680026</t>
  </si>
  <si>
    <t>การศึกษาเกี่ยวกับอนุพันธ์เศษส่วนระดับที่สอง</t>
  </si>
  <si>
    <t>อ.ดร.ชัยยศ กำธรเจริญ</t>
  </si>
  <si>
    <t>sci-680031</t>
  </si>
  <si>
    <t>การผสานเครือข่ายการแสดงออกร่วมของยีนกับแบบจำลองเมแทบอลิซึมจากการวิเคราะห์สมดุลฟลักซ์</t>
  </si>
  <si>
    <t>sci-680033</t>
  </si>
  <si>
    <t>แคลคูลัสเศษส่วนเทมเพอร์เรดทั่วไป</t>
  </si>
  <si>
    <t>ศ.ดร.เจษฎา ธารีบุญ</t>
  </si>
  <si>
    <t>sci-680045</t>
  </si>
  <si>
    <t>แบบจำลองทางคณิตศาสตร์สำหรับการระบาดของโรคที่ผนวกผลของกลุ่มพาหะและความล้มเหลวในการรักษา</t>
  </si>
  <si>
    <t>รศ.ดร.ณิชาภัทร พัฒนะรพีเลิศ</t>
  </si>
  <si>
    <t>sci-680004</t>
  </si>
  <si>
    <t>การออกแบบแผนภูมิควบคุมผสมเพื่อตรวจจับความผันแปรของกระบวนการ</t>
  </si>
  <si>
    <t>sci-680009</t>
  </si>
  <si>
    <t>แนวทางสมการปริพันธ์เชิงตัวเลขแบบใหม่โดยใช้การหาค่าประมาณ Gauss-Legendre Quadrature เพื่อประมาณค่าความยาวรันเฉลี่ยของตัวแบบอนุกรมเวลาที่ทำงานบนแผนภูมิควบคุม CUSUM</t>
  </si>
  <si>
    <t>sci-680010</t>
  </si>
  <si>
    <t>ทัศนคติของนักศึกษาต่อการจัดการเรียนการสอนในหลักสูตรวิทยาศาสตรบัณฑิต ภาควิชาสถิติประยุกต์ คณะวิทยาศาสตร์ประยุกต์ มหาวิทยาลัยเทคโนโลยีพระจอมเกล้าพระนครเหนือ</t>
  </si>
  <si>
    <t>sci-680012</t>
  </si>
  <si>
    <t>ตัวแบบการถดถอยทวินามเชิงลบสำหรับพยากรณ์จำนวนนักท่องเที่ยวในอุทยานแห่งชาติ</t>
  </si>
  <si>
    <t>รศ.ดร.วิกานดา ผาพันธ์</t>
  </si>
  <si>
    <t>sci-680038</t>
  </si>
  <si>
    <t>ตัวแบบการถดถอยเซอร์คิวลาร์-เซอร์คิวลาร์สำหรับทิศทางลมในประเทศไทย</t>
  </si>
  <si>
    <t>sci-680035</t>
  </si>
  <si>
    <t>การประมาณค่าอุบัติการณ์ของโรค COVID-19 ด้วยข้อมูลฝุ่นละอองในเชียงใหม่ของประเทศไทยโดยใช้ตัวประมาณค่าที่มีการแปลงในกรณีที่มีค่าข้อมูลสูญหาย</t>
  </si>
  <si>
    <t>sci-680039</t>
  </si>
  <si>
    <t>ตัวแบบพยากรณ์ปริมาณการใช้ไฟฟ้าในครัวเรือนของประเทศไทยโดยวิธีจำแนกประเภท</t>
  </si>
  <si>
    <t>ผศ.ดร.ปิยะฉัตร ลีลาศิลปศาสน์</t>
  </si>
  <si>
    <t>sci-680013</t>
  </si>
  <si>
    <t>การเปรียบเทียบการวัดอนุภาคระดับไมโครเมตรด้วยกล้องจุลทรรศน์อิเล็กตรอนกับเครื่องวัดอนุภาคไมโครเมตร เพื่อใช้สำหรับการทางเลือกในการวิเคราะห์ตัวอย่าง</t>
  </si>
  <si>
    <t>นายภัคคภูมิ เล่ห์ไธสง</t>
  </si>
  <si>
    <t>sci-680021</t>
  </si>
  <si>
    <t>ความคาดหวังต่อคุณภาพการให้บริการของงานคลัง คณะวิทยาศาสตร์ประยุกต์ มหาวิทยาลัยเทคโนโลยีพระจอมเกล้าพระนครเหนือ</t>
  </si>
  <si>
    <t>sci-680028</t>
  </si>
  <si>
    <t>แนวทางการพัฒนาประสิทธิภาพการจัดซื้อจัดจ้างและการบริหารพัสดุภาครัฐ สู่เป้าหมายการเป็นสำนักงานสีเขียวของคณะวิทยาศาสตร์ประยุกต์ มหาวิทยาลัยเทคโนโลยีพระจอมเกล้าพระนครเหนือ</t>
  </si>
  <si>
    <t>นางอรวรรณ ดีเหลือ</t>
  </si>
  <si>
    <t>sci-680029</t>
  </si>
  <si>
    <t>ทัศนคติของบุคลากรต่อการใช้ระบบเสนอโครงการวิจัยคณะวิทยาศาสตร์ประยุกต์ มหาวิทยาลัยเทคโนโลยีพระจอมเกล้าพระนครเหนือ</t>
  </si>
  <si>
    <t>นางสาวกิตศิญา ชูช่วยสุวรรณ</t>
  </si>
  <si>
    <t>โครงการวิจัย</t>
  </si>
  <si>
    <t>สว 0181-2568 24 ม.ค. 68</t>
  </si>
  <si>
    <t>วารสาร Open Physics</t>
  </si>
  <si>
    <t>SCIE/Scopus Q2</t>
  </si>
  <si>
    <t>สว 0108-2568 16 ม.ค. 68</t>
  </si>
  <si>
    <t>สว 0580-2567 6 มี.ค. 67</t>
  </si>
  <si>
    <t>ตอบรับตีพิมพ์ วารสาร WSEAS Transactions on Systems</t>
  </si>
  <si>
    <t>สว 0235.2-2568</t>
  </si>
  <si>
    <t>วารสารพยาบาลทหารบก ปีที่ 26 ฉบับที่ 1 มกราคม - เมษายน 2568</t>
  </si>
  <si>
    <t>TCI กลุ่ม 1</t>
  </si>
  <si>
    <t>สว 569-2568</t>
  </si>
  <si>
    <t>E3S Web of Conferences Vol.610, Article No. 02006, 2025</t>
  </si>
  <si>
    <t>ตอบรับตีพิมพ์ในวารสาร Burapha Science Journal</t>
  </si>
  <si>
    <t>18 มี.ค. 68 สว 0751.1-2568</t>
  </si>
  <si>
    <t>วท 293/2568 วันที่ 27 มีนาคม 2568</t>
  </si>
  <si>
    <t>ส่งการเงิน 2 เม.ย. 68</t>
  </si>
  <si>
    <t>สำเนาผลงานอนุสิทธิบัตร เลขที่คำขอ 2503000452 พร้อมรายละเอียดการประดิษฐ์</t>
  </si>
  <si>
    <t>Scopus Q4</t>
  </si>
  <si>
    <t>4 ก.พ. 68 สว 293-2568</t>
  </si>
  <si>
    <t>วารสาร Key Engineering Materials Vol. 999, pp 3-10</t>
  </si>
  <si>
    <t>Engineering Letters, vol. 33 no. 2, pp.292-311 (2025)</t>
  </si>
  <si>
    <t>สว 0330/2568</t>
  </si>
  <si>
    <t>14 พ.ค. 68</t>
  </si>
  <si>
    <t>Proceeding</t>
  </si>
  <si>
    <t xml:space="preserve">ประชุมวิชาการนานาชาติ “2025 Joint International 
	Conference on Digital Arts, Media and Technology 
	with ECTI Northern Section Conference on 
	Electrical, Electronics, Computer and 
	Telecommunications Engineering (ECTI DAMT &amp; NCON)” </t>
  </si>
  <si>
    <t>สว 1491-2568</t>
  </si>
  <si>
    <t>สว 1445-2568</t>
  </si>
  <si>
    <t>ตีพิมพ์จากวารสารวิชาการมหาวิทยาลัยราชภัฏบุรีรัมย์ ปีที่ 17 ฉบับที่ 1 ประจำเดือน มกราคม - มิถุนายน 2568</t>
  </si>
  <si>
    <t>TCI กลุ่มที่ 2</t>
  </si>
  <si>
    <t>นำเสนอในงานประชุมวิชาการระดับนานาชาติที่มีรายงานสืบเนื่องจากการประชุมวิชาการ</t>
  </si>
  <si>
    <t>สว 1629-2568</t>
  </si>
  <si>
    <t>สว 1646-2568</t>
  </si>
  <si>
    <t>ตอบรับตีพิมพ์ในวารสารวิทยาการจัดการ มหาวิทยาลัยราชภัฏสกลนคร ปีที่ 5 ฉบับที่ 4 (ตุลาคม-ธันวาคม 2568)</t>
  </si>
  <si>
    <t>ตอบรับตีพิมพ์ในวารสารระดับนานาชาติ 2025 11th International Conference on Computing and Data Engineering (ICCDE 2025)</t>
  </si>
  <si>
    <t>สว 1741-2568</t>
  </si>
  <si>
    <t>สว 1882-2568</t>
  </si>
  <si>
    <t>นำเสนอในงานประชุมวิชาการระดับนานาชาติ Proceedings - iEECON 2025: 
2025 13th International Electrical Engineering Congress: Carbon Neutrality: Challenges and Solutions Based on Sustainable Power of Nature</t>
  </si>
  <si>
    <t>วท 593-2568</t>
  </si>
  <si>
    <t>ตีพิมพ์ในวารสาร Chiang Mai Journal of Science 52(4)</t>
  </si>
  <si>
    <t>สว 1195-2568</t>
  </si>
  <si>
    <t>สว 2234-2568</t>
  </si>
  <si>
    <t>Pharmacological research – Natural products</t>
  </si>
  <si>
    <t>สว 2331-2568 25 กค. 68</t>
  </si>
  <si>
    <t>The 8th International Conference on Innovative Computing (IC2025)</t>
  </si>
  <si>
    <t>สว 2349-2568 29 ก.ค. 68</t>
  </si>
  <si>
    <t xml:space="preserve">ACS OMEGA </t>
  </si>
  <si>
    <t xml:space="preserve">Folia Microbiologica </t>
  </si>
  <si>
    <t>สว 2472-2568 8 ส.ค. 68</t>
  </si>
  <si>
    <t>** ขอเปลี่ยนชื่อภาษาอังกฤษ</t>
  </si>
  <si>
    <t>สว 2476-2568 13 ส.ค. 68</t>
  </si>
  <si>
    <t>* ขอเปลี่ยนชื่อโครงการภาษาอังกฤษ</t>
  </si>
  <si>
    <t>สว 2560/2568</t>
  </si>
  <si>
    <t>21 ส.ค. 68</t>
  </si>
  <si>
    <t>วารสารวิชาการระดับนานาชาติ Key Engineering Materials Vol. 999 (2024) 11-16</t>
  </si>
  <si>
    <t>ประชุมวิชาการระดับนานาชาติ The 10th International Conference on Digital Arts, 
Media and Technology (DAMT) and 8th ECTI Northern Section Conference on Electrical, Electronics, Computer and Telecommunications Engineering (NCON)</t>
  </si>
  <si>
    <t>สว 2925-2568</t>
  </si>
  <si>
    <t>สว 2920-2568</t>
  </si>
  <si>
    <t xml:space="preserve">ประชุมวิชาการนานาชาติ “The 7th International Conference on Statistics: Theory and Application (ICSTA 2025)”  </t>
  </si>
  <si>
    <t>วท 837-2568 วันที่ 18 กันยายน 2568</t>
  </si>
  <si>
    <t xml:space="preserve">วารสารวิชาการพระจอมเกล้าพระนครเหนือ ปีที่ 36 ฉบับที่ 1 มกราคม - มีนาคม 2569 </t>
  </si>
  <si>
    <t>สว 3321-2568 21 ต.ค. 68</t>
  </si>
  <si>
    <t>วารสาร Chemical Engineering Journal Advances</t>
  </si>
  <si>
    <t>นำเสนอในที่ประชุมวิชาการนานาชาติ “2025 13th International Conference on Bioinformatics 
and Computational Biology, ICBCB 2025”</t>
  </si>
  <si>
    <t>สว 3761-2568 21 พ.ย. 68</t>
  </si>
  <si>
    <t>2025 10th International Conference on Business and Industrial Research (ICBIR2025) “Advanced Technology and Innovation for Sustainable Society</t>
  </si>
  <si>
    <t>เข้าแฟ้ม</t>
  </si>
  <si>
    <t>sci-690015</t>
  </si>
  <si>
    <t>การค้นหาสารออกฤทธิ์ทางชีวภาพจากต้นกว้าว</t>
  </si>
  <si>
    <t>sci-690022</t>
  </si>
  <si>
    <t>ผลของเมลาโทนินต่อการเปลี่ยนแปลงทางสรีรวิทยาและคุณภาพหลังการเก็บเกี่ยวของกล้วยไม้ตัดดอกสกุลหวาย พันธุ์ลูซี่พิงค์</t>
  </si>
  <si>
    <t>sci-690043</t>
  </si>
  <si>
    <t>การพัฒนา Bacillus subtilis TISTR 2057 ชนิดเม็ด โดยเทคนิคไมโครเอนแคปซูเลชันและการทำแห้งอย่างง่าย</t>
  </si>
  <si>
    <t>sci-690014</t>
  </si>
  <si>
    <t>ศักยภาพโพรไบโอติกและฤทธิ์ต้านอนุมูลอิสระ ต้านเบาหวาน และต้านมะเร็งของแบคทีเรียกรดแลกติกจากนมแพะ</t>
  </si>
  <si>
    <t>sci-690040</t>
  </si>
  <si>
    <t>การพัฒนาและจำแนกคุณลักษณะของแอนติบอดีสายเดี่ยวต่อต้านไซอาโลโฟริน สำหรับเทคโนโลยีเฟจดิสเพลย์ที่มีความแม่นยำสูง</t>
  </si>
  <si>
    <t>sci-690013</t>
  </si>
  <si>
    <t>การค้นหาสารธรรมชาติจากพืชสกุล Bauhinia เพื่อพัฒนาเป็นเซนเซอร์ตรวจวัดค่า pH</t>
  </si>
  <si>
    <t>sci-690017</t>
  </si>
  <si>
    <t>การใช้ไคโตซานดัดแปรด้วยสารลดแรงตึงผิวที่เป็นอันตรายต่ำดูดซับสีย้อมเบสิก</t>
  </si>
  <si>
    <t>sci-690026</t>
  </si>
  <si>
    <t>การพัฒนาสารให้กลิ่นรสสู่อาหารฟังก์ชันจากพืช: ลักษณะด้านโครงสร้างทางเคมี สารระเหยได้ การยับยั้งอนุมูลอิสระ และการยับยั้งอนุมูลอิสระในระดับเซลล์ ของสารประกอบร่วมระหว่างโปรตีนกากถั่วเขียวและไรโบสที่ผ่านปฏิกิริยาเมลลาร์ด</t>
  </si>
  <si>
    <t>sci-690028</t>
  </si>
  <si>
    <t>การปรับปรุงสมบัติของฟิล์มพอลิไฮดรอกซีบิวทิเรตที่แตกสลายทางชีวภาพได้ด้วยกระบวนการดึงยืด</t>
  </si>
  <si>
    <t>sci-690037</t>
  </si>
  <si>
    <t>การจำลองพลศาสตร์ของไหลเชิงคำนวณ (CFD) สำหรับกระบวนการกลีเซอรอลรีฟอร์มมิง</t>
  </si>
  <si>
    <t>sci-690033</t>
  </si>
  <si>
    <t>การกักเก็บอะดีโนซีนในระบบนำส่งนาโนอิมัลชัน</t>
  </si>
  <si>
    <t>sci-690041</t>
  </si>
  <si>
    <t>แผ่นแปะไมโครนีดเดิลสำหรับผลิตภัณฑ์รักษาสิว</t>
  </si>
  <si>
    <t>sci-690008</t>
  </si>
  <si>
    <t>ระบบเฝ้าระวังอัจฉริยะเพื่อป้องกันแผลกดทับในผู้ป่วยติดเตียงแบบเรียลไทม์</t>
  </si>
  <si>
    <t>sci-690024</t>
  </si>
  <si>
    <t>การสังเคราะห์แบบเคมีสีเขียวของอนุภาคนาโนซิงค์ออกไซด์จากสารสกัดเปลือกมะม่วงโดยอิทธิพลของอุณหภูมิการอบอ่อน</t>
  </si>
  <si>
    <t>sci-690034</t>
  </si>
  <si>
    <t>การออกแบบประดิษฐ์และศึกษาทดลองห้องปฏิบัติการบนชิปชนิดพลาสติกด้วยหมึกพิมพ์นำไฟฟ้า</t>
  </si>
  <si>
    <t>sci-690039</t>
  </si>
  <si>
    <t>การวิเคราะห์เชิงเปรียบเทียบฤทธิ์ต้านอนุมูลอิสระโดยใช้โฟโตมิเตอร์เชิงพาณิชย์และโฟโตมิเตอร์ที่สร้างขึ้นเอง</t>
  </si>
  <si>
    <t>sci-690042</t>
  </si>
  <si>
    <t>แผ่นขัดจากเถ้าแกลบข้าวเหนียวผสมกับโพลียูรีเทนสำหรับกระบวนการขัดซัพไฟร์ ด้วยการใช้สารเคมีร่วมกับแรงทางกล</t>
  </si>
  <si>
    <t>sci-690007</t>
  </si>
  <si>
    <t>การวิเคราะห์การขยายตัวของพื้นที่อยู่อาศัยและอัตราการเติบโตรายปีในจังหวัดนนทบุรีโดยใช้ข้อมูลภาพถ่ายดาวเทียมและเทคโนโลยีภูมิสารสนเทศ</t>
  </si>
  <si>
    <t>sci-690010</t>
  </si>
  <si>
    <t>ความต้องการในการพัฒนาตนเองของบุคลากรสายสนับสนุน คณะวิทยาศาสตร์ประยุกต์ มหาวิทยาลัยเทคโนโลยีพระจอมเกล้าพระนครเหนือ</t>
  </si>
  <si>
    <t>sci-690016</t>
  </si>
  <si>
    <t>การพยากรณ์การฉ้อโกงประกันอุบัติเหตุส่วนบุคคลโดยใช้การเรียนรู้ของเครื่อง: กรณีศึกษา บริษัท ประกันภัย จำกัด (มหาชน) แห่งหนึ่งในประเทศไทย</t>
  </si>
  <si>
    <t>sci-690031</t>
  </si>
  <si>
    <t>แบบจำลองวิเคราะห์ตำแหน่งลูกแบดมินตันตกด้วยเทคนิคการตรวจจับวัตถุแบบเรียลไทม์</t>
  </si>
  <si>
    <t xml:space="preserve">    sci-690036  </t>
  </si>
  <si>
    <t>การวิเคราะห์ความแตกต่างของเปอร์เซ็นไทล์จากการแจกแจงไวบูลล์ระหว่างกลุ่ม</t>
  </si>
  <si>
    <t>sci-690045</t>
  </si>
  <si>
    <t>การแจกแจงโมดิฟายซุจา: ทฤษฎีคุณสมบัติและการประยุกต์</t>
  </si>
  <si>
    <t>sci-690047</t>
  </si>
  <si>
    <t>การประเมินประสิทธิภาพของช่วงการทำนายด้วยการถดถอยควอนไทล์</t>
  </si>
  <si>
    <t>sci-690048</t>
  </si>
  <si>
    <t>ตัวแบบการถดถอยเซอร์คิวลาร์พหุคูณสำหรับทิศทางลมในประเทศไทย</t>
  </si>
  <si>
    <t>sci-690006</t>
  </si>
  <si>
    <t>การปรับปรุงเทคนิคการแบ่งส่วนภาพเพื่อใช้กับการรู้จำตัวอักษรลายมือ</t>
  </si>
  <si>
    <t>sci-690018</t>
  </si>
  <si>
    <t>ระบบดึงและจำแนกข้อมูลจากสื่อสังคมออนไลน์อัตโนมัติ</t>
  </si>
  <si>
    <t>sci-690025</t>
  </si>
  <si>
    <t>การวิเคราะห์เชิงเปรียบเทียบสถาปัตยกรรมแบบจำลองการเรียนรู้เชิงลึก (CNN, LSTM, BERT) สำหรับการจำแนกกลุ่มใจความหลักในบทกวีซอนเน็ตของเชกสเปียร์</t>
  </si>
  <si>
    <t>sci-690035</t>
  </si>
  <si>
    <t>การทำนายคุณภาพและระยะเวลาการนอนจากข้อมูลอุปกรณ์สวมใส่และสมาร์ตโฟน ด้วยการสร้างข้อมูลสังเคราะห์</t>
  </si>
  <si>
    <t>sci-690011</t>
  </si>
  <si>
    <t>ตัวแบบการเรียนรู้เชิงลึกที่มีประสิทธิภาพด้วยการรวมโมดูลอินเซปชั่นสำหรับการรู้จำกิจกรรมของผู้สูงอายุโดยใช้เซนเซอร์บนอุปกรณ์สวมใส่</t>
  </si>
  <si>
    <t>sci-690029</t>
  </si>
  <si>
    <t>คำตอบแม่นตรงของสมการของไหลแบบใหม่ที่ถูกขยายโดยใช้วิธีที่น่าเชื่อถือ</t>
  </si>
  <si>
    <t>sci-690038</t>
  </si>
  <si>
    <t>คุณลักษณะการแพร่กระจายเมตาพาธและการเรียนรู้ของเครื่องสำหรับการทำนายความสัมพันธ์ของยาและโรค</t>
  </si>
  <si>
    <t>sci-690032</t>
  </si>
  <si>
    <t>การบริหารการเงินและบัญชีที่มีผลต่อประสิทธิภาพการปฏิบัติงานของบุคลากรงานการเงินและบัญชี มหาวิทยาลัยเทคโนโลยีพระจอมเกล้าพระนครเหนือ</t>
  </si>
  <si>
    <t>sci-690019</t>
  </si>
  <si>
    <t>การศึกษาปัจจัยพฤติกรรมการมีส่วนร่วมต่อกิจกรรมพัฒนานักศึกษา คณะวิทยาศาสตร์-ประยุกต์ มหาวิทยาลัยเทคโนโลยีพระจอมเกล้าพระนครเหนือ</t>
  </si>
  <si>
    <t>รองศาสตราจารย์ ดร.สุทิน แก่นนาคำ</t>
  </si>
  <si>
    <t>100,000</t>
  </si>
  <si>
    <t>อาจารย์ ดร.ชวิศา สุขพิทักษ์</t>
  </si>
  <si>
    <t>ผู้ช่วยศาสตราจารย์ ดร.วิชัย ดำรงโภคภัณฑ์</t>
  </si>
  <si>
    <t>รองศาสตราจารย์ ดร.ศิริขวัญ ทินรัตน์</t>
  </si>
  <si>
    <t>ผู้ช่วยศาสตราจารย์ ดร.อวัช วิเศษสัย</t>
  </si>
  <si>
    <t>75,000</t>
  </si>
  <si>
    <t>ผู้ช่วยศาสตราจารย์ ดร.ชนิกานต์ ซ่อนกลิ่น</t>
  </si>
  <si>
    <t>รองศาสตราจารย์ ดร.สุทธินันท์ พงษ์ธรรมรักษ์</t>
  </si>
  <si>
    <t>ผู้ช่วยศาสตราจารย์ ดร.นิศาลักษณ์ ตรงศิริวัฒน์</t>
  </si>
  <si>
    <t>รองศาสตราจารย์ ดร.สมิทธิชัย สียางนอก</t>
  </si>
  <si>
    <t>อาจารย์ ดร.รสจรินทร์ รัตนสุนทร</t>
  </si>
  <si>
    <t>รองศาสตราจารย์ ดร.วันทนา เกิดนิยม</t>
  </si>
  <si>
    <t>ผู้ช่วยศาสตราจารย์ ดร.ธิดารัตน์ หวังคำ</t>
  </si>
  <si>
    <t>ผู้ช่วยศาสตราจารย์ ดร.เสฎฐวุฒิ ดวงจันทร์</t>
  </si>
  <si>
    <t>70,000</t>
  </si>
  <si>
    <t>ผู้ช่วยศาสตราจารย์ ดร.มูรตี สมบูรณ์</t>
  </si>
  <si>
    <t>ผู้ช่วยศาสตราจารย์ ดร.ชนนิกานต์ รอดมรณ์</t>
  </si>
  <si>
    <t>อาจารย์ ดร.มนัสยา ละอองแก้ว</t>
  </si>
  <si>
    <t>ผู้ช่วยศาสตราจารย์ ดร.ปิยะฉัตร ลีลาศิลปศาสน์</t>
  </si>
  <si>
    <t>ผู้ช่วยศาสตราจารย์ ดร.ชนาพันธุ์ ชนาเนตร</t>
  </si>
  <si>
    <t>อาจารย์ ดร.ณัฐกิตติ์ จิตรเอื้อตระกูล</t>
  </si>
  <si>
    <t>อาจารย์ ดร.ยนต์ชนก เขาแก้ว</t>
  </si>
  <si>
    <t>นางสาว ศรีวิไล ซุยเจริญ</t>
  </si>
  <si>
    <t>The 6th Research, Invention, and Innovation Congress (RI2C2025)</t>
  </si>
  <si>
    <t>Scopus Q3</t>
  </si>
  <si>
    <t>สว 16422569 / sarabun</t>
  </si>
  <si>
    <t>Book  chapter ปิดไม่ได้</t>
  </si>
  <si>
    <t>สว 1512-2569</t>
  </si>
  <si>
    <t>Development of an Electrochemical Sensor for On-Site Detection of Perfluorooctane Sulfonic Acid (PFOS)</t>
  </si>
  <si>
    <t>ชื่อโครงการวิจัย (EN)</t>
  </si>
  <si>
    <t>Searching for natural compounds from Bauhinia species for development of pH sensors</t>
  </si>
  <si>
    <t>ชื่อ Paper ที่เปลี่ยน</t>
  </si>
  <si>
    <t>Natural Racemosol-Type from Bauhinia malabarica: A New Class of Nonanthocyanin pH Indicators</t>
  </si>
  <si>
    <t>https://pubs.acs.org/doi/10.1021/acsomega.6c02430</t>
  </si>
  <si>
    <t>สว 1903-2569 22 เม.ย. 6</t>
  </si>
  <si>
    <t>E3S Web of Conferences</t>
  </si>
  <si>
    <t>ACS Omega</t>
  </si>
  <si>
    <t>สว 1913-2569 / 22 เม.ย. 69</t>
  </si>
  <si>
    <t>Green Synthesis and Optimized Annealing Temperature Effects on Zinc Oxide Nanoparticles Using Mango Peel Extract</t>
  </si>
  <si>
    <t>Journal of Metals, Materials and Minerals</t>
  </si>
  <si>
    <t>Probiotic Potential and Antioxidant, Antidiabetic, and Anticancer Activities of Goat Milk-Derived Lactic Acid Bacteria</t>
  </si>
  <si>
    <t>Folia Microbiologica</t>
  </si>
  <si>
    <t xml:space="preserve">Application controls audit framework in  the context of ERP systems </t>
  </si>
  <si>
    <t>ชื่อทุนที่เปลี่ยน</t>
  </si>
  <si>
    <t>วารสาร Applied Computer Science</t>
  </si>
  <si>
    <t>Epidemiologia</t>
  </si>
  <si>
    <t>สว 2073-2569 / 30 เม.ย. 69</t>
  </si>
  <si>
    <t>สว 2031-2569 / 28 เม.ย. 69</t>
  </si>
  <si>
    <t>สว 2109-2569 / 1 พ.ค. 69</t>
  </si>
  <si>
    <t>สว 2027-2569 / 24 เม.ย. 69</t>
  </si>
  <si>
    <t>JASET Vol.25 No.1</t>
  </si>
  <si>
    <t>Satisfaction Study Using Online Teaching Aids of Faculty Members in the Department of Agro-industrial, Food and Environment Technology</t>
  </si>
  <si>
    <t>การศึกษาความพึงพอใจในการใช้เครื่องมือช่วยสอนออนไลน์
ของคณาจารย์ภาควิชาเทคโนโลยีอุตสาหกรรมเกษตร อาหาร และสิ่งแวดล้อม</t>
  </si>
  <si>
    <t>* เปลี่ยนชื่อ Paper *</t>
  </si>
  <si>
    <t>An Efficient Deep Learning Model with Integrated Inception Module for Elderly People Activity Recognition using Wearable Sensors</t>
  </si>
  <si>
    <t>สว 2423-2569 / 20 พ.ค. 69</t>
  </si>
  <si>
    <t>11th International Conference on Digital Arts, Media and Technology and 9th ECTI Northern Section Conference on Electrical, Electronics, Computer and Telecommunications Engineering, ECTI DAMT and NCON 2026</t>
  </si>
  <si>
    <t xml:space="preserve">การวิเคราะห์เชิงเปรียบเทียบสถาปัตยกรรมแบบจำลอง CNN, LSTM, BERT สำหรับการ จำแนกอารมณ์ในข้อความ (Comparative Analysis of Convolutional Neural Networks, Long Short-Term Memory Networks, and Bert for Text-Based Emotion Classification)  </t>
  </si>
  <si>
    <t>ASEAN Journal of Scientific and Technological Reports</t>
  </si>
  <si>
    <t>SCOPUS Q4</t>
  </si>
  <si>
    <t>สว 3000-2569 / 12 มิถุนายน 2569</t>
  </si>
  <si>
    <t>ชื่อเรื่อง</t>
  </si>
  <si>
    <t>สว 3253-2569 / 23 มิ.ย. 69</t>
  </si>
  <si>
    <t>Meta-Path Propagation Profiles with Machine Learning for Accurate Drug-Disease Prediction</t>
  </si>
  <si>
    <t>Meta-Path Propagation Profiles with Machine Learning for Drug–Disease Association Prediction</t>
  </si>
  <si>
    <t>ชื่อ Paper เปลี่ยนนิดหน่อยแต่ความหมายเหมือนเดิม รองคณบดีอนุมัติปิดทุน</t>
  </si>
  <si>
    <t>ตอบรับตีพิมพ์ในวารสารมนุษยศาสตร์และสังคมศาสตร์ มหาวิทยาลัยราชพฤกษ์</t>
  </si>
  <si>
    <t>สว 3499-2569 / 3 ก.ค. 69</t>
  </si>
  <si>
    <t>Exact solutions of extended novel fluid equations utilizing reliable methods</t>
  </si>
  <si>
    <t>สว 3802-2569 / 16 ก.ค. 69</t>
  </si>
  <si>
    <t>16 ก.ค. 69</t>
  </si>
  <si>
    <t>นำไปใช้ประโยชน์ในสาขาวิชาเทคโนโลยีอุตสาหกรรมเกษตร</t>
  </si>
  <si>
    <t>สว 3807-2569 / 16 ก.ค. 69</t>
  </si>
  <si>
    <t xml:space="preserve">Exact Traveling Wave Solutions of Extended Kadomtsev–Petviashvili  Equation via Modified Rational Sine–Cosine and New Extended Direct Algebraic Methods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</si>
</sst>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
    <numFmt numFmtId="165" formatCode="0."/>
    <numFmt numFmtId="166" formatCode="_(* #,##0_);_(* \(#,##0\);_(* &quot;-&quot;??_);_(@_)"/>
    <numFmt numFmtId="167" formatCode="#,##0.00_ ;[Red]\-#,##0.00\ "/>
  </numFmts>
  <fonts count="42">
    <font>
      <sz val="11"/>
      <color theme="1"/>
      <name val="Calibri"/>
      <family val="2"/>
      <charset val="222"/>
      <scheme val="minor"/>
    </font>
    <font>
      <sz val="16"/>
      <color theme="1"/>
      <name val="TH SarabunPSK"/>
      <family val="2"/>
    </font>
    <font>
      <b/>
      <sz val="16"/>
      <color theme="1"/>
      <name val="TH SarabunPSK"/>
      <family val="2"/>
    </font>
    <font>
      <b/>
      <sz val="18"/>
      <color theme="1"/>
      <name val="TH SarabunPSK"/>
      <family val="2"/>
    </font>
    <font>
      <sz val="14"/>
      <name val="TH SarabunPSK"/>
      <family val="2"/>
    </font>
    <font>
      <sz val="11"/>
      <color theme="1"/>
      <name val="Calibri"/>
      <family val="2"/>
      <charset val="222"/>
      <scheme val="minor"/>
    </font>
    <font>
      <b/>
      <sz val="16"/>
      <name val="TH SarabunPSK"/>
      <family val="2"/>
    </font>
    <font>
      <sz val="16"/>
      <name val="TH SarabunPSK"/>
      <family val="2"/>
    </font>
    <font>
      <sz val="10"/>
      <color indexed="8"/>
      <name val="Tahoma"/>
      <family val="2"/>
    </font>
    <font>
      <sz val="16"/>
      <color indexed="8"/>
      <name val="TH SarabunPSK"/>
      <family val="2"/>
    </font>
    <font>
      <sz val="16"/>
      <color rgb="FFFF0000"/>
      <name val="TH SarabunPSK"/>
      <family val="2"/>
    </font>
    <font>
      <sz val="9"/>
      <color indexed="81"/>
      <name val="Tahoma"/>
      <family val="2"/>
    </font>
    <font>
      <b/>
      <sz val="9"/>
      <color indexed="81"/>
      <name val="Tahoma"/>
      <family val="2"/>
    </font>
    <font>
      <sz val="11"/>
      <color theme="1"/>
      <name val="Calibri"/>
      <family val="2"/>
      <scheme val="minor"/>
    </font>
    <font>
      <i/>
      <sz val="16"/>
      <color theme="1"/>
      <name val="TH SarabunPSK"/>
      <family val="2"/>
    </font>
    <font>
      <vertAlign val="superscript"/>
      <sz val="16"/>
      <color theme="1"/>
      <name val="TH SarabunPSK"/>
      <family val="2"/>
    </font>
    <font>
      <sz val="15"/>
      <color theme="1"/>
      <name val="TH SarabunPSK"/>
      <family val="2"/>
    </font>
    <font>
      <sz val="14"/>
      <color theme="1"/>
      <name val="Angsana New"/>
      <family val="1"/>
    </font>
    <font>
      <u/>
      <sz val="11"/>
      <color theme="10"/>
      <name val="Calibri"/>
      <family val="2"/>
      <charset val="222"/>
      <scheme val="minor"/>
    </font>
    <font>
      <sz val="16"/>
      <color rgb="FF050505"/>
      <name val="TH SarabunPSK"/>
      <family val="2"/>
    </font>
    <font>
      <vertAlign val="superscript"/>
      <sz val="16"/>
      <color rgb="FF050505"/>
      <name val="TH SarabunPSK"/>
      <family val="2"/>
    </font>
    <font>
      <b/>
      <sz val="14"/>
      <color theme="1"/>
      <name val="TH SarabunPSK"/>
      <family val="2"/>
    </font>
    <font>
      <sz val="15.5"/>
      <color rgb="FF333333"/>
      <name val="TH SarabunPSK"/>
      <family val="2"/>
    </font>
    <font>
      <sz val="15.5"/>
      <color theme="1"/>
      <name val="TH SarabunPSK"/>
      <family val="2"/>
    </font>
    <font>
      <sz val="16"/>
      <color rgb="FF000000"/>
      <name val="TH SarabunPSK"/>
      <family val="2"/>
    </font>
    <font>
      <vertAlign val="subscript"/>
      <sz val="16"/>
      <color rgb="FF000000"/>
      <name val="TH SarabunPSK"/>
      <family val="2"/>
    </font>
    <font>
      <sz val="11"/>
      <color rgb="FF9C5700"/>
      <name val="Calibri"/>
      <family val="2"/>
      <charset val="222"/>
      <scheme val="minor"/>
    </font>
    <font>
      <sz val="16"/>
      <color theme="1"/>
      <name val="TH Sarabun New"/>
      <family val="2"/>
    </font>
    <font>
      <b/>
      <sz val="16"/>
      <color rgb="FFFF0000"/>
      <name val="TH SarabunPSK"/>
      <family val="2"/>
    </font>
    <font>
      <b/>
      <sz val="18"/>
      <color theme="1"/>
      <name val="TH Sarabun New"/>
      <family val="2"/>
    </font>
    <font>
      <sz val="11"/>
      <color theme="1"/>
      <name val="TH Sarabun New"/>
      <family val="2"/>
    </font>
    <font>
      <b/>
      <sz val="16"/>
      <color theme="1"/>
      <name val="TH Sarabun New"/>
      <family val="2"/>
    </font>
    <font>
      <sz val="15.5"/>
      <color theme="1"/>
      <name val="TH Sarabun New"/>
      <family val="2"/>
    </font>
    <font>
      <b/>
      <sz val="16"/>
      <color rgb="FF000000"/>
      <name val="TH Sarabun New"/>
      <family val="2"/>
    </font>
    <font>
      <sz val="16"/>
      <color rgb="FF000000"/>
      <name val="TH Sarabun New"/>
      <family val="2"/>
    </font>
    <font>
      <sz val="16"/>
      <color rgb="FF333333"/>
      <name val="TH Sarabun New"/>
      <family val="2"/>
    </font>
    <font>
      <sz val="16"/>
      <color theme="1"/>
      <name val="Calibri"/>
      <family val="2"/>
      <charset val="222"/>
      <scheme val="minor"/>
    </font>
    <font>
      <b/>
      <sz val="11"/>
      <color theme="1"/>
      <name val="Calibri"/>
      <family val="2"/>
      <charset val="222"/>
      <scheme val="minor"/>
    </font>
    <font>
      <b/>
      <sz val="18"/>
      <color theme="1"/>
      <name val="TH SarabunPSK"/>
      <family val="2"/>
      <charset val="222"/>
    </font>
    <font>
      <b/>
      <sz val="16"/>
      <color theme="1"/>
      <name val="TH SarabunPSK"/>
      <family val="2"/>
      <charset val="222"/>
    </font>
    <font>
      <b/>
      <sz val="15.5"/>
      <color theme="1"/>
      <name val="TH SarabunPSK"/>
      <family val="2"/>
      <charset val="222"/>
    </font>
    <font>
      <b/>
      <sz val="11"/>
      <color rgb="FF9C5700"/>
      <name val="Calibri"/>
      <family val="2"/>
      <charset val="22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EB9C"/>
      </patternFill>
    </fill>
    <fill>
      <patternFill patternType="solid">
        <fgColor rgb="FFFFC000"/>
        <bgColor indexed="64"/>
      </patternFill>
    </fill>
    <fill>
      <patternFill patternType="solid">
        <fgColor rgb="FFFFCCCC"/>
        <bgColor indexed="64"/>
      </patternFill>
    </fill>
    <fill>
      <patternFill patternType="solid">
        <fgColor theme="6"/>
        <bgColor indexed="64"/>
      </patternFill>
    </fill>
    <fill>
      <patternFill patternType="solid">
        <fgColor rgb="FFFFFFFF"/>
        <bgColor rgb="FFFFFFFF"/>
      </patternFill>
    </fill>
    <fill>
      <patternFill patternType="solid">
        <fgColor theme="6" tint="0.79998168889431442"/>
        <bgColor indexed="64"/>
      </patternFill>
    </fill>
    <fill>
      <patternFill patternType="solid">
        <fgColor theme="6" tint="0.79998168889431442"/>
        <bgColor rgb="FFFFFFFF"/>
      </patternFill>
    </fill>
    <fill>
      <patternFill patternType="solid">
        <fgColor theme="9" tint="0.79998168889431442"/>
        <bgColor indexed="64"/>
      </patternFill>
    </fill>
    <fill>
      <patternFill patternType="solid">
        <fgColor theme="9" tint="0.79998168889431442"/>
        <bgColor rgb="FFFFFFFF"/>
      </patternFill>
    </fill>
  </fills>
  <borders count="3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auto="1"/>
      </left>
      <right/>
      <top style="hair">
        <color indexed="64"/>
      </top>
      <bottom style="hair">
        <color indexed="64"/>
      </bottom>
      <diagonal/>
    </border>
    <border>
      <left/>
      <right style="thin">
        <color auto="1"/>
      </right>
      <top style="hair">
        <color auto="1"/>
      </top>
      <bottom style="hair">
        <color auto="1"/>
      </bottom>
      <diagonal/>
    </border>
    <border>
      <left style="thin">
        <color auto="1"/>
      </left>
      <right style="thin">
        <color auto="1"/>
      </right>
      <top style="thin">
        <color indexed="64"/>
      </top>
      <bottom/>
      <diagonal/>
    </border>
    <border>
      <left style="thin">
        <color auto="1"/>
      </left>
      <right/>
      <top/>
      <bottom/>
      <diagonal/>
    </border>
    <border>
      <left style="thin">
        <color auto="1"/>
      </left>
      <right/>
      <top style="hair">
        <color auto="1"/>
      </top>
      <bottom style="thin">
        <color auto="1"/>
      </bottom>
      <diagonal/>
    </border>
    <border>
      <left/>
      <right style="thin">
        <color auto="1"/>
      </right>
      <top/>
      <bottom style="hair">
        <color auto="1"/>
      </bottom>
      <diagonal/>
    </border>
    <border>
      <left/>
      <right style="thin">
        <color auto="1"/>
      </right>
      <top style="hair">
        <color auto="1"/>
      </top>
      <bottom style="thin">
        <color auto="1"/>
      </bottom>
      <diagonal/>
    </border>
    <border>
      <left style="thin">
        <color auto="1"/>
      </left>
      <right/>
      <top/>
      <bottom style="hair">
        <color auto="1"/>
      </bottom>
      <diagonal/>
    </border>
    <border>
      <left/>
      <right style="hair">
        <color auto="1"/>
      </right>
      <top style="hair">
        <color auto="1"/>
      </top>
      <bottom style="thin">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style="thin">
        <color auto="1"/>
      </right>
      <top style="thin">
        <color indexed="64"/>
      </top>
      <bottom/>
      <diagonal/>
    </border>
    <border>
      <left style="thin">
        <color auto="1"/>
      </left>
      <right/>
      <top style="thin">
        <color indexed="64"/>
      </top>
      <bottom/>
      <diagonal/>
    </border>
    <border>
      <left/>
      <right/>
      <top style="thin">
        <color indexed="64"/>
      </top>
      <bottom/>
      <diagonal/>
    </border>
    <border>
      <left style="thin">
        <color auto="1"/>
      </left>
      <right/>
      <top style="thin">
        <color indexed="64"/>
      </top>
      <bottom style="hair">
        <color auto="1"/>
      </bottom>
      <diagonal/>
    </border>
    <border>
      <left/>
      <right/>
      <top style="thin">
        <color indexed="64"/>
      </top>
      <bottom style="hair">
        <color auto="1"/>
      </bottom>
      <diagonal/>
    </border>
    <border>
      <left/>
      <right style="thin">
        <color auto="1"/>
      </right>
      <top style="thin">
        <color indexed="64"/>
      </top>
      <bottom style="hair">
        <color auto="1"/>
      </bottom>
      <diagonal/>
    </border>
    <border>
      <left style="thin">
        <color auto="1"/>
      </left>
      <right/>
      <top/>
      <bottom style="thin">
        <color indexed="64"/>
      </bottom>
      <diagonal/>
    </border>
    <border>
      <left/>
      <right/>
      <top/>
      <bottom style="thin">
        <color indexed="64"/>
      </bottom>
      <diagonal/>
    </border>
    <border>
      <left/>
      <right style="thin">
        <color auto="1"/>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indexed="64"/>
      </top>
      <bottom/>
      <diagonal/>
    </border>
    <border>
      <left style="thin">
        <color auto="1"/>
      </left>
      <right/>
      <top style="thin">
        <color indexed="64"/>
      </top>
      <bottom style="thin">
        <color indexed="64"/>
      </bottom>
      <diagonal/>
    </border>
    <border>
      <left/>
      <right style="thin">
        <color auto="1"/>
      </right>
      <top style="thin">
        <color indexed="64"/>
      </top>
      <bottom style="thin">
        <color indexed="64"/>
      </bottom>
      <diagonal/>
    </border>
    <border>
      <left/>
      <right/>
      <top style="thin">
        <color auto="1"/>
      </top>
      <bottom style="double">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6">
    <xf numFmtId="0" fontId="0" fillId="0" borderId="0"/>
    <xf numFmtId="43" fontId="5" fillId="0" borderId="0" applyFont="0" applyFill="0" applyBorder="0" applyAlignment="0" applyProtection="0"/>
    <xf numFmtId="0" fontId="8" fillId="0" borderId="0"/>
    <xf numFmtId="0" fontId="13" fillId="0" borderId="0"/>
    <xf numFmtId="0" fontId="18" fillId="0" borderId="0" applyNumberFormat="0" applyFill="0" applyBorder="0" applyAlignment="0" applyProtection="0"/>
    <xf numFmtId="0" fontId="26" fillId="4" borderId="0" applyNumberFormat="0" applyBorder="0" applyAlignment="0" applyProtection="0"/>
  </cellStyleXfs>
  <cellXfs count="505">
    <xf numFmtId="0" fontId="0" fillId="0" borderId="0" xfId="0"/>
    <xf numFmtId="0" fontId="1" fillId="0" borderId="0" xfId="0" applyFont="1"/>
    <xf numFmtId="0" fontId="2" fillId="0" borderId="0" xfId="0" applyFont="1" applyAlignment="1">
      <alignment horizontal="center" vertical="center"/>
    </xf>
    <xf numFmtId="4" fontId="2" fillId="0" borderId="1" xfId="0" applyNumberFormat="1" applyFont="1" applyBorder="1" applyAlignment="1">
      <alignment horizontal="center" vertical="center"/>
    </xf>
    <xf numFmtId="40" fontId="2" fillId="0" borderId="1" xfId="0" applyNumberFormat="1" applyFont="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4" fontId="1" fillId="0" borderId="0" xfId="0" applyNumberFormat="1" applyFont="1" applyAlignment="1">
      <alignment vertical="center"/>
    </xf>
    <xf numFmtId="40" fontId="1" fillId="0" borderId="0" xfId="0" applyNumberFormat="1" applyFont="1" applyAlignment="1">
      <alignment vertical="center"/>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0" borderId="5" xfId="0" applyFont="1" applyBorder="1" applyAlignment="1">
      <alignment vertical="center"/>
    </xf>
    <xf numFmtId="4" fontId="1" fillId="0" borderId="5" xfId="0" applyNumberFormat="1" applyFont="1" applyBorder="1" applyAlignment="1">
      <alignment vertical="center"/>
    </xf>
    <xf numFmtId="40" fontId="1" fillId="0" borderId="5" xfId="0" applyNumberFormat="1" applyFont="1" applyBorder="1" applyAlignment="1">
      <alignment vertical="center"/>
    </xf>
    <xf numFmtId="0" fontId="1" fillId="0" borderId="5" xfId="0" applyFont="1" applyBorder="1" applyAlignment="1">
      <alignment horizontal="right" vertical="center"/>
    </xf>
    <xf numFmtId="0" fontId="1" fillId="0" borderId="6"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4" fontId="1" fillId="0" borderId="6" xfId="0" applyNumberFormat="1" applyFont="1" applyBorder="1" applyAlignment="1">
      <alignment vertical="center"/>
    </xf>
    <xf numFmtId="40" fontId="1" fillId="0" borderId="6" xfId="0" applyNumberFormat="1" applyFont="1" applyBorder="1" applyAlignment="1">
      <alignment vertical="center"/>
    </xf>
    <xf numFmtId="0" fontId="1" fillId="0" borderId="6" xfId="0" applyFont="1" applyBorder="1" applyAlignment="1">
      <alignment horizontal="right" vertical="center"/>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4" xfId="0" applyFont="1" applyBorder="1" applyAlignment="1">
      <alignment vertical="center"/>
    </xf>
    <xf numFmtId="4" fontId="1" fillId="0" borderId="4" xfId="0" applyNumberFormat="1" applyFont="1" applyBorder="1" applyAlignment="1">
      <alignment vertical="center"/>
    </xf>
    <xf numFmtId="40" fontId="1" fillId="0" borderId="4" xfId="0" applyNumberFormat="1" applyFont="1" applyBorder="1" applyAlignment="1">
      <alignment vertical="center"/>
    </xf>
    <xf numFmtId="0" fontId="1" fillId="0" borderId="4" xfId="0" applyFont="1" applyBorder="1" applyAlignment="1">
      <alignment horizontal="right" vertical="center"/>
    </xf>
    <xf numFmtId="164" fontId="1" fillId="0" borderId="4" xfId="0" applyNumberFormat="1" applyFont="1" applyBorder="1" applyAlignment="1">
      <alignment vertical="center"/>
    </xf>
    <xf numFmtId="0" fontId="2" fillId="0" borderId="4" xfId="0" applyFont="1" applyBorder="1" applyAlignment="1">
      <alignment vertical="center" wrapText="1"/>
    </xf>
    <xf numFmtId="0" fontId="1" fillId="0" borderId="0" xfId="0" applyFont="1" applyAlignment="1">
      <alignment horizontal="right" vertical="center"/>
    </xf>
    <xf numFmtId="0" fontId="1" fillId="0" borderId="24" xfId="0" applyFont="1" applyBorder="1" applyAlignment="1">
      <alignment vertical="center" wrapText="1"/>
    </xf>
    <xf numFmtId="0" fontId="1" fillId="0" borderId="25" xfId="0" applyFont="1" applyBorder="1" applyAlignment="1">
      <alignment vertical="center"/>
    </xf>
    <xf numFmtId="0" fontId="1" fillId="0" borderId="26" xfId="0" applyFont="1" applyBorder="1" applyAlignment="1">
      <alignment vertical="center"/>
    </xf>
    <xf numFmtId="0" fontId="1" fillId="0" borderId="7" xfId="0" applyFont="1" applyBorder="1" applyAlignment="1">
      <alignment vertical="center" wrapText="1"/>
    </xf>
    <xf numFmtId="0" fontId="1" fillId="0" borderId="19" xfId="0" applyFont="1" applyBorder="1" applyAlignment="1">
      <alignment vertical="center"/>
    </xf>
    <xf numFmtId="0" fontId="1" fillId="0" borderId="8" xfId="0" applyFont="1" applyBorder="1" applyAlignment="1">
      <alignment vertical="center"/>
    </xf>
    <xf numFmtId="0" fontId="1" fillId="0" borderId="7" xfId="0" applyFont="1" applyBorder="1" applyAlignment="1">
      <alignment vertical="center"/>
    </xf>
    <xf numFmtId="0" fontId="1" fillId="0" borderId="20" xfId="0" applyFont="1" applyBorder="1" applyAlignment="1">
      <alignment vertical="center"/>
    </xf>
    <xf numFmtId="0" fontId="1" fillId="0" borderId="13" xfId="0" applyFont="1" applyBorder="1" applyAlignment="1">
      <alignment vertical="center"/>
    </xf>
    <xf numFmtId="0" fontId="1" fillId="0" borderId="24" xfId="0" applyFont="1" applyBorder="1" applyAlignment="1">
      <alignment horizontal="left" vertical="center" wrapText="1"/>
    </xf>
    <xf numFmtId="0" fontId="1" fillId="0" borderId="7" xfId="0" applyFont="1" applyBorder="1" applyAlignment="1">
      <alignment horizontal="left" vertical="center" wrapText="1"/>
    </xf>
    <xf numFmtId="0" fontId="1" fillId="0" borderId="7" xfId="0" applyFont="1" applyBorder="1" applyAlignment="1">
      <alignment horizontal="left" vertical="center"/>
    </xf>
    <xf numFmtId="4" fontId="2" fillId="0" borderId="1" xfId="0" applyNumberFormat="1" applyFont="1" applyBorder="1" applyAlignment="1">
      <alignment vertical="center"/>
    </xf>
    <xf numFmtId="0" fontId="1" fillId="0" borderId="10" xfId="0" applyFont="1" applyBorder="1" applyAlignment="1">
      <alignment vertical="center"/>
    </xf>
    <xf numFmtId="0" fontId="1" fillId="0" borderId="14" xfId="0" applyFont="1" applyBorder="1" applyAlignment="1">
      <alignment vertical="center" wrapText="1"/>
    </xf>
    <xf numFmtId="0" fontId="1" fillId="0" borderId="16" xfId="0" applyFont="1" applyBorder="1" applyAlignment="1">
      <alignment vertical="center"/>
    </xf>
    <xf numFmtId="0" fontId="1" fillId="0" borderId="12" xfId="0" applyFont="1" applyBorder="1" applyAlignment="1">
      <alignment vertical="center"/>
    </xf>
    <xf numFmtId="0" fontId="1" fillId="0" borderId="17" xfId="0" applyFont="1" applyBorder="1" applyAlignment="1">
      <alignment vertical="center"/>
    </xf>
    <xf numFmtId="0" fontId="1" fillId="0" borderId="11" xfId="0" applyFont="1" applyBorder="1" applyAlignment="1">
      <alignment vertical="center"/>
    </xf>
    <xf numFmtId="0" fontId="1" fillId="0" borderId="15" xfId="0" applyFont="1" applyBorder="1" applyAlignment="1">
      <alignment vertical="center"/>
    </xf>
    <xf numFmtId="0" fontId="1" fillId="0" borderId="18" xfId="0" applyFont="1" applyBorder="1" applyAlignment="1">
      <alignment vertical="center"/>
    </xf>
    <xf numFmtId="0" fontId="2" fillId="0" borderId="0" xfId="0" applyFont="1" applyAlignment="1">
      <alignment vertical="center"/>
    </xf>
    <xf numFmtId="0" fontId="1" fillId="0" borderId="19" xfId="0" applyFont="1" applyBorder="1" applyAlignment="1">
      <alignment horizontal="left" vertical="center"/>
    </xf>
    <xf numFmtId="0" fontId="1" fillId="0" borderId="8" xfId="0" applyFont="1" applyBorder="1" applyAlignment="1">
      <alignment horizontal="left" vertical="center"/>
    </xf>
    <xf numFmtId="0" fontId="2" fillId="0" borderId="9" xfId="0" applyFont="1" applyBorder="1" applyAlignment="1">
      <alignment horizontal="center" vertical="center" wrapText="1"/>
    </xf>
    <xf numFmtId="0" fontId="1" fillId="0" borderId="4" xfId="0" applyFont="1" applyBorder="1" applyAlignment="1">
      <alignment horizontal="right" vertical="top"/>
    </xf>
    <xf numFmtId="0" fontId="1" fillId="0" borderId="0" xfId="0" applyFont="1" applyAlignment="1">
      <alignment horizontal="right" vertical="top"/>
    </xf>
    <xf numFmtId="0" fontId="2" fillId="0" borderId="0" xfId="0" applyFont="1" applyAlignment="1">
      <alignment horizontal="center" vertical="top"/>
    </xf>
    <xf numFmtId="0" fontId="2" fillId="0" borderId="6" xfId="0" applyFont="1" applyBorder="1" applyAlignment="1">
      <alignment horizontal="center" vertical="top"/>
    </xf>
    <xf numFmtId="0" fontId="1" fillId="0" borderId="0" xfId="0" applyFont="1" applyAlignment="1">
      <alignment vertical="top"/>
    </xf>
    <xf numFmtId="0" fontId="1" fillId="0" borderId="4" xfId="0" applyFont="1" applyBorder="1" applyAlignment="1">
      <alignment vertical="top" wrapText="1"/>
    </xf>
    <xf numFmtId="0" fontId="1" fillId="0" borderId="7" xfId="0" applyFont="1" applyBorder="1" applyAlignment="1">
      <alignment vertical="top" wrapText="1"/>
    </xf>
    <xf numFmtId="0" fontId="1" fillId="0" borderId="19" xfId="0" applyFont="1" applyBorder="1" applyAlignment="1">
      <alignment vertical="top"/>
    </xf>
    <xf numFmtId="0" fontId="1" fillId="0" borderId="8" xfId="0" applyFont="1" applyBorder="1" applyAlignment="1">
      <alignment vertical="top"/>
    </xf>
    <xf numFmtId="0" fontId="1" fillId="0" borderId="4" xfId="0" applyFont="1" applyBorder="1" applyAlignment="1">
      <alignment vertical="top"/>
    </xf>
    <xf numFmtId="0" fontId="1" fillId="0" borderId="7" xfId="0" applyFont="1" applyBorder="1" applyAlignment="1">
      <alignment vertical="top"/>
    </xf>
    <xf numFmtId="0" fontId="2" fillId="0" borderId="4" xfId="0" applyFont="1" applyBorder="1" applyAlignment="1">
      <alignment vertical="top" wrapText="1"/>
    </xf>
    <xf numFmtId="4" fontId="1" fillId="0" borderId="0" xfId="0" applyNumberFormat="1" applyFont="1" applyAlignment="1">
      <alignment vertical="top"/>
    </xf>
    <xf numFmtId="40" fontId="1" fillId="0" borderId="0" xfId="0" applyNumberFormat="1" applyFont="1" applyAlignment="1">
      <alignment vertical="top"/>
    </xf>
    <xf numFmtId="0" fontId="1" fillId="0" borderId="0" xfId="0" applyFont="1" applyAlignment="1">
      <alignment vertical="top" wrapText="1"/>
    </xf>
    <xf numFmtId="0" fontId="4" fillId="0" borderId="1" xfId="0" applyFont="1" applyBorder="1" applyAlignment="1">
      <alignment horizontal="left" vertical="center"/>
    </xf>
    <xf numFmtId="0" fontId="1" fillId="0" borderId="25" xfId="0" applyFont="1" applyBorder="1" applyAlignment="1">
      <alignment horizontal="left" vertical="center"/>
    </xf>
    <xf numFmtId="0" fontId="1" fillId="0" borderId="0" xfId="0" applyFont="1" applyAlignment="1">
      <alignment horizontal="left" vertical="center"/>
    </xf>
    <xf numFmtId="0" fontId="1" fillId="0" borderId="26" xfId="0" applyFont="1" applyBorder="1" applyAlignment="1">
      <alignment horizontal="left" vertical="center"/>
    </xf>
    <xf numFmtId="0" fontId="1" fillId="0" borderId="12" xfId="0" applyFont="1" applyBorder="1" applyAlignment="1">
      <alignment vertical="center" wrapText="1"/>
    </xf>
    <xf numFmtId="0" fontId="1" fillId="0" borderId="8" xfId="0" applyFont="1" applyBorder="1" applyAlignment="1">
      <alignment vertical="center" wrapText="1"/>
    </xf>
    <xf numFmtId="0" fontId="7" fillId="0" borderId="1" xfId="0" applyFont="1" applyBorder="1" applyAlignment="1">
      <alignment horizontal="center" vertical="top"/>
    </xf>
    <xf numFmtId="0" fontId="1" fillId="0" borderId="30" xfId="0" applyFont="1" applyBorder="1" applyAlignment="1">
      <alignment vertical="top" wrapText="1"/>
    </xf>
    <xf numFmtId="0" fontId="9" fillId="0" borderId="30" xfId="2" applyFont="1" applyBorder="1" applyAlignment="1">
      <alignment vertical="top" wrapText="1"/>
    </xf>
    <xf numFmtId="0" fontId="2" fillId="0" borderId="32" xfId="0" applyFont="1" applyBorder="1" applyAlignment="1">
      <alignment horizontal="center" vertical="center" wrapText="1"/>
    </xf>
    <xf numFmtId="0" fontId="6" fillId="0" borderId="9" xfId="0" applyFont="1" applyBorder="1" applyAlignment="1">
      <alignment horizontal="center" vertical="center"/>
    </xf>
    <xf numFmtId="0" fontId="1" fillId="0" borderId="14" xfId="0" applyFont="1" applyBorder="1" applyAlignment="1">
      <alignment horizontal="center" vertical="center"/>
    </xf>
    <xf numFmtId="0" fontId="2" fillId="0" borderId="32" xfId="0" applyFont="1" applyBorder="1" applyAlignment="1">
      <alignment horizontal="center" vertical="center"/>
    </xf>
    <xf numFmtId="0" fontId="1" fillId="0" borderId="4" xfId="0" applyFont="1" applyBorder="1" applyAlignment="1">
      <alignment horizontal="center" vertical="top"/>
    </xf>
    <xf numFmtId="166" fontId="1" fillId="0" borderId="1" xfId="1" applyNumberFormat="1" applyFont="1" applyBorder="1" applyAlignment="1">
      <alignment horizontal="right" vertical="top" wrapText="1"/>
    </xf>
    <xf numFmtId="0" fontId="9" fillId="0" borderId="32" xfId="2" applyFont="1" applyBorder="1" applyAlignment="1">
      <alignment vertical="top" wrapText="1"/>
    </xf>
    <xf numFmtId="166" fontId="1" fillId="0" borderId="36" xfId="0" applyNumberFormat="1" applyFont="1" applyBorder="1" applyAlignment="1">
      <alignment vertical="center"/>
    </xf>
    <xf numFmtId="3" fontId="1" fillId="0" borderId="32" xfId="0" applyNumberFormat="1" applyFont="1" applyBorder="1" applyAlignment="1">
      <alignment vertical="center"/>
    </xf>
    <xf numFmtId="3" fontId="1" fillId="0" borderId="0" xfId="0" applyNumberFormat="1" applyFont="1" applyAlignment="1">
      <alignment vertical="center"/>
    </xf>
    <xf numFmtId="0" fontId="2" fillId="0" borderId="27" xfId="0" applyFont="1" applyBorder="1" applyAlignment="1">
      <alignment horizontal="center" vertical="center"/>
    </xf>
    <xf numFmtId="167" fontId="1" fillId="0" borderId="0" xfId="0" applyNumberFormat="1" applyFont="1" applyAlignment="1">
      <alignment vertical="center"/>
    </xf>
    <xf numFmtId="38" fontId="1" fillId="0" borderId="0" xfId="0" applyNumberFormat="1" applyFont="1" applyAlignment="1">
      <alignment vertical="center"/>
    </xf>
    <xf numFmtId="4" fontId="1" fillId="0" borderId="0" xfId="0" applyNumberFormat="1" applyFont="1" applyAlignment="1">
      <alignment horizontal="right" vertical="center"/>
    </xf>
    <xf numFmtId="4" fontId="2" fillId="0" borderId="32" xfId="0" applyNumberFormat="1" applyFont="1" applyBorder="1" applyAlignment="1">
      <alignment horizontal="center" vertical="center"/>
    </xf>
    <xf numFmtId="0" fontId="1" fillId="0" borderId="32" xfId="3" applyFont="1" applyBorder="1" applyAlignment="1">
      <alignment vertical="top" wrapText="1"/>
    </xf>
    <xf numFmtId="0" fontId="1" fillId="0" borderId="3" xfId="3" applyFont="1" applyBorder="1" applyAlignment="1">
      <alignment vertical="top" wrapText="1"/>
    </xf>
    <xf numFmtId="0" fontId="1" fillId="0" borderId="32" xfId="3" applyFont="1" applyBorder="1" applyAlignment="1">
      <alignment horizontal="left" vertical="top" wrapText="1"/>
    </xf>
    <xf numFmtId="0" fontId="1" fillId="0" borderId="3" xfId="3" applyFont="1" applyBorder="1" applyAlignment="1">
      <alignment horizontal="left" vertical="top" wrapText="1"/>
    </xf>
    <xf numFmtId="0" fontId="1" fillId="0" borderId="0" xfId="3" applyFont="1" applyAlignment="1">
      <alignment vertical="top" wrapText="1"/>
    </xf>
    <xf numFmtId="0" fontId="1" fillId="0" borderId="0" xfId="3" applyFont="1" applyAlignment="1">
      <alignment horizontal="left" vertical="top" wrapText="1"/>
    </xf>
    <xf numFmtId="43" fontId="1" fillId="0" borderId="32" xfId="3" applyNumberFormat="1" applyFont="1" applyBorder="1" applyAlignment="1">
      <alignment horizontal="right" vertical="top" wrapText="1"/>
    </xf>
    <xf numFmtId="43" fontId="7" fillId="0" borderId="3" xfId="3" applyNumberFormat="1" applyFont="1" applyBorder="1" applyAlignment="1">
      <alignment horizontal="right" vertical="top" wrapText="1"/>
    </xf>
    <xf numFmtId="43" fontId="7" fillId="0" borderId="32" xfId="3" applyNumberFormat="1" applyFont="1" applyBorder="1" applyAlignment="1">
      <alignment horizontal="right" vertical="top" wrapText="1"/>
    </xf>
    <xf numFmtId="43" fontId="1" fillId="0" borderId="3" xfId="3" applyNumberFormat="1" applyFont="1" applyBorder="1" applyAlignment="1">
      <alignment horizontal="right" vertical="top" wrapText="1"/>
    </xf>
    <xf numFmtId="0" fontId="7" fillId="0" borderId="32" xfId="3" applyFont="1" applyBorder="1" applyAlignment="1">
      <alignment vertical="top" wrapText="1"/>
    </xf>
    <xf numFmtId="0" fontId="7" fillId="0" borderId="32" xfId="3" applyFont="1" applyBorder="1" applyAlignment="1">
      <alignment horizontal="left" vertical="top" wrapText="1"/>
    </xf>
    <xf numFmtId="43" fontId="1" fillId="0" borderId="32" xfId="1" applyFont="1" applyBorder="1" applyAlignment="1">
      <alignment horizontal="right" vertical="top" wrapText="1"/>
    </xf>
    <xf numFmtId="43" fontId="1" fillId="0" borderId="6" xfId="1" applyFont="1" applyBorder="1" applyAlignment="1">
      <alignment vertical="center"/>
    </xf>
    <xf numFmtId="43" fontId="1" fillId="0" borderId="0" xfId="0" applyNumberFormat="1" applyFont="1" applyAlignment="1">
      <alignment vertical="center"/>
    </xf>
    <xf numFmtId="164" fontId="1" fillId="0" borderId="0" xfId="0" applyNumberFormat="1" applyFont="1" applyAlignment="1">
      <alignment vertical="center"/>
    </xf>
    <xf numFmtId="0" fontId="2" fillId="0" borderId="22" xfId="0" applyFont="1" applyBorder="1" applyAlignment="1">
      <alignment vertical="center"/>
    </xf>
    <xf numFmtId="0" fontId="2" fillId="0" borderId="27" xfId="0" applyFont="1" applyBorder="1" applyAlignment="1">
      <alignment vertical="center"/>
    </xf>
    <xf numFmtId="0" fontId="1" fillId="0" borderId="32" xfId="0" applyFont="1" applyBorder="1" applyAlignment="1">
      <alignment horizontal="center" vertical="center" wrapText="1"/>
    </xf>
    <xf numFmtId="4" fontId="1" fillId="0" borderId="32" xfId="0" applyNumberFormat="1" applyFont="1" applyBorder="1" applyAlignment="1">
      <alignment horizontal="center" vertical="center"/>
    </xf>
    <xf numFmtId="14" fontId="1" fillId="0" borderId="0" xfId="0" applyNumberFormat="1" applyFont="1" applyAlignment="1">
      <alignment vertical="center"/>
    </xf>
    <xf numFmtId="0" fontId="19" fillId="0" borderId="0" xfId="0" applyFont="1"/>
    <xf numFmtId="0" fontId="2" fillId="0" borderId="9" xfId="0" applyFont="1" applyBorder="1" applyAlignment="1">
      <alignment horizontal="center" vertical="center"/>
    </xf>
    <xf numFmtId="0" fontId="2" fillId="0" borderId="3" xfId="0" applyFont="1" applyBorder="1" applyAlignment="1">
      <alignment horizontal="center" vertical="center"/>
    </xf>
    <xf numFmtId="0" fontId="1" fillId="0" borderId="22" xfId="0" applyFont="1" applyBorder="1" applyAlignment="1">
      <alignment horizontal="right" vertical="center"/>
    </xf>
    <xf numFmtId="0" fontId="1" fillId="0" borderId="10" xfId="0" applyFont="1" applyBorder="1" applyAlignment="1">
      <alignment horizontal="right" vertical="center"/>
    </xf>
    <xf numFmtId="0" fontId="7" fillId="0" borderId="34" xfId="0" applyFont="1" applyBorder="1" applyAlignment="1">
      <alignment horizontal="center" vertical="top"/>
    </xf>
    <xf numFmtId="0" fontId="7" fillId="0" borderId="32" xfId="0" applyFont="1" applyBorder="1" applyAlignment="1">
      <alignment horizontal="center" vertical="top"/>
    </xf>
    <xf numFmtId="0" fontId="1" fillId="0" borderId="32" xfId="0" applyFont="1" applyBorder="1" applyAlignment="1">
      <alignment horizontal="center" vertical="center"/>
    </xf>
    <xf numFmtId="0" fontId="1" fillId="0" borderId="32" xfId="0" applyFont="1" applyBorder="1" applyAlignment="1">
      <alignment horizontal="right" vertical="center"/>
    </xf>
    <xf numFmtId="0" fontId="21" fillId="0" borderId="32" xfId="0" applyFont="1" applyBorder="1" applyAlignment="1">
      <alignment horizontal="center" vertical="center" wrapText="1"/>
    </xf>
    <xf numFmtId="1" fontId="21" fillId="0" borderId="32" xfId="0" applyNumberFormat="1" applyFont="1" applyBorder="1" applyAlignment="1">
      <alignment horizontal="center" vertical="center" wrapText="1"/>
    </xf>
    <xf numFmtId="0" fontId="22" fillId="0" borderId="32" xfId="0" applyFont="1" applyBorder="1" applyAlignment="1">
      <alignment horizontal="center" vertical="center" wrapText="1"/>
    </xf>
    <xf numFmtId="1" fontId="23" fillId="0" borderId="32" xfId="0" applyNumberFormat="1" applyFont="1" applyBorder="1" applyAlignment="1">
      <alignment horizontal="center" vertical="center"/>
    </xf>
    <xf numFmtId="0" fontId="23" fillId="0" borderId="32" xfId="0" applyFont="1" applyBorder="1" applyAlignment="1">
      <alignment horizontal="center" vertical="center"/>
    </xf>
    <xf numFmtId="0" fontId="23" fillId="0" borderId="32" xfId="0" applyFont="1" applyBorder="1" applyAlignment="1">
      <alignment vertical="center" wrapText="1"/>
    </xf>
    <xf numFmtId="0" fontId="23" fillId="0" borderId="0" xfId="0" applyFont="1" applyAlignment="1">
      <alignment vertical="center"/>
    </xf>
    <xf numFmtId="0" fontId="23" fillId="0" borderId="32" xfId="4" applyFont="1" applyFill="1" applyBorder="1" applyAlignment="1">
      <alignment horizontal="center" vertical="center" wrapText="1"/>
    </xf>
    <xf numFmtId="43" fontId="1" fillId="0" borderId="6" xfId="1" applyFont="1" applyFill="1" applyBorder="1" applyAlignment="1">
      <alignment vertical="center"/>
    </xf>
    <xf numFmtId="0" fontId="5" fillId="0" borderId="0" xfId="4" applyFont="1" applyFill="1" applyAlignment="1">
      <alignment vertical="center" wrapText="1"/>
    </xf>
    <xf numFmtId="1" fontId="1" fillId="0" borderId="0" xfId="0" applyNumberFormat="1" applyFont="1" applyAlignment="1">
      <alignment vertical="center"/>
    </xf>
    <xf numFmtId="0" fontId="1" fillId="0" borderId="32" xfId="0" applyFont="1" applyBorder="1" applyAlignment="1">
      <alignment vertical="center"/>
    </xf>
    <xf numFmtId="4" fontId="23" fillId="0" borderId="32" xfId="4" applyNumberFormat="1" applyFont="1" applyFill="1" applyBorder="1" applyAlignment="1">
      <alignment horizontal="center" vertical="center" wrapText="1"/>
    </xf>
    <xf numFmtId="0" fontId="18" fillId="0" borderId="4" xfId="4" applyBorder="1" applyAlignment="1">
      <alignment vertical="center"/>
    </xf>
    <xf numFmtId="0" fontId="16" fillId="0" borderId="32" xfId="3" applyFont="1" applyBorder="1" applyAlignment="1">
      <alignment horizontal="left" vertical="top" wrapText="1"/>
    </xf>
    <xf numFmtId="14" fontId="1" fillId="0" borderId="4" xfId="0" applyNumberFormat="1" applyFont="1" applyBorder="1" applyAlignment="1">
      <alignment vertical="center"/>
    </xf>
    <xf numFmtId="165" fontId="1" fillId="0" borderId="4" xfId="0" applyNumberFormat="1" applyFont="1" applyBorder="1" applyAlignment="1">
      <alignment horizontal="center" vertical="top"/>
    </xf>
    <xf numFmtId="165" fontId="1" fillId="0" borderId="0" xfId="0" applyNumberFormat="1" applyFont="1" applyAlignment="1">
      <alignment horizontal="center" vertical="top"/>
    </xf>
    <xf numFmtId="0" fontId="1" fillId="0" borderId="0" xfId="0" applyFont="1" applyAlignment="1">
      <alignment horizontal="center" vertical="top"/>
    </xf>
    <xf numFmtId="0" fontId="1" fillId="0" borderId="24" xfId="0" applyFont="1" applyBorder="1" applyAlignment="1">
      <alignment horizontal="center" vertical="center"/>
    </xf>
    <xf numFmtId="0" fontId="23" fillId="0" borderId="32" xfId="0" applyFont="1" applyBorder="1" applyAlignment="1">
      <alignment vertical="center"/>
    </xf>
    <xf numFmtId="40" fontId="1" fillId="0" borderId="0" xfId="0" applyNumberFormat="1" applyFont="1" applyAlignment="1">
      <alignment horizontal="center" vertical="center"/>
    </xf>
    <xf numFmtId="4" fontId="0" fillId="0" borderId="0" xfId="0" applyNumberFormat="1"/>
    <xf numFmtId="0" fontId="1" fillId="2" borderId="0" xfId="0" applyFont="1" applyFill="1" applyAlignment="1">
      <alignment vertical="center"/>
    </xf>
    <xf numFmtId="4" fontId="1" fillId="2" borderId="4" xfId="0" applyNumberFormat="1" applyFont="1" applyFill="1" applyBorder="1" applyAlignment="1">
      <alignment vertical="center"/>
    </xf>
    <xf numFmtId="0" fontId="1" fillId="0" borderId="32" xfId="3" applyFont="1" applyBorder="1" applyAlignment="1">
      <alignment horizontal="center" vertical="top" wrapText="1"/>
    </xf>
    <xf numFmtId="0" fontId="7" fillId="0" borderId="32" xfId="3" applyFont="1" applyBorder="1" applyAlignment="1">
      <alignment horizontal="center" vertical="top" wrapText="1"/>
    </xf>
    <xf numFmtId="0" fontId="1" fillId="0" borderId="3" xfId="3" applyFont="1" applyBorder="1" applyAlignment="1">
      <alignment horizontal="center" vertical="top" wrapText="1"/>
    </xf>
    <xf numFmtId="0" fontId="1" fillId="2" borderId="4" xfId="0" applyFont="1" applyFill="1" applyBorder="1" applyAlignment="1">
      <alignment horizontal="center" vertical="center"/>
    </xf>
    <xf numFmtId="0" fontId="0" fillId="2" borderId="0" xfId="0" applyFill="1"/>
    <xf numFmtId="0" fontId="1" fillId="2" borderId="19" xfId="0" applyFont="1" applyFill="1" applyBorder="1" applyAlignment="1">
      <alignment vertical="center"/>
    </xf>
    <xf numFmtId="0" fontId="1" fillId="2" borderId="8" xfId="0" applyFont="1" applyFill="1" applyBorder="1" applyAlignment="1">
      <alignment vertical="center"/>
    </xf>
    <xf numFmtId="0" fontId="1" fillId="2" borderId="4" xfId="0" applyFont="1" applyFill="1" applyBorder="1" applyAlignment="1">
      <alignment vertical="center"/>
    </xf>
    <xf numFmtId="40" fontId="1" fillId="2" borderId="4" xfId="0" applyNumberFormat="1" applyFont="1" applyFill="1" applyBorder="1" applyAlignment="1">
      <alignment vertical="center"/>
    </xf>
    <xf numFmtId="0" fontId="1" fillId="2" borderId="4" xfId="0" applyFont="1" applyFill="1" applyBorder="1" applyAlignment="1">
      <alignment horizontal="right" vertical="center"/>
    </xf>
    <xf numFmtId="0" fontId="1" fillId="2" borderId="4" xfId="0" applyFont="1" applyFill="1" applyBorder="1" applyAlignment="1">
      <alignment vertical="center" wrapText="1"/>
    </xf>
    <xf numFmtId="0" fontId="1" fillId="3" borderId="0" xfId="0" applyFont="1" applyFill="1" applyAlignment="1">
      <alignment vertical="center"/>
    </xf>
    <xf numFmtId="0" fontId="1" fillId="2" borderId="7" xfId="0" applyFont="1" applyFill="1" applyBorder="1" applyAlignment="1">
      <alignment vertical="center"/>
    </xf>
    <xf numFmtId="0" fontId="1" fillId="2" borderId="6"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5" xfId="0" applyFont="1" applyFill="1" applyBorder="1" applyAlignment="1">
      <alignment vertical="center" wrapText="1"/>
    </xf>
    <xf numFmtId="0" fontId="1" fillId="3" borderId="11" xfId="0" applyFont="1" applyFill="1" applyBorder="1" applyAlignment="1">
      <alignment horizontal="left" vertical="center"/>
    </xf>
    <xf numFmtId="0" fontId="1" fillId="3" borderId="20" xfId="0" applyFont="1" applyFill="1" applyBorder="1" applyAlignment="1">
      <alignment horizontal="left" vertical="center"/>
    </xf>
    <xf numFmtId="0" fontId="1" fillId="3" borderId="13" xfId="0" applyFont="1" applyFill="1" applyBorder="1" applyAlignment="1">
      <alignment horizontal="left" vertical="center"/>
    </xf>
    <xf numFmtId="0" fontId="4" fillId="3" borderId="1" xfId="0" applyFont="1" applyFill="1" applyBorder="1" applyAlignment="1">
      <alignment horizontal="left" vertical="center"/>
    </xf>
    <xf numFmtId="4" fontId="1" fillId="3" borderId="5" xfId="0" applyNumberFormat="1" applyFont="1" applyFill="1" applyBorder="1" applyAlignment="1">
      <alignment vertical="center"/>
    </xf>
    <xf numFmtId="40" fontId="1" fillId="3" borderId="5" xfId="0" applyNumberFormat="1" applyFont="1" applyFill="1" applyBorder="1" applyAlignment="1">
      <alignment vertical="center"/>
    </xf>
    <xf numFmtId="0" fontId="1" fillId="3" borderId="5" xfId="0" applyFont="1" applyFill="1" applyBorder="1" applyAlignment="1">
      <alignment horizontal="right" vertical="center"/>
    </xf>
    <xf numFmtId="0" fontId="1" fillId="3" borderId="5" xfId="0" applyFont="1" applyFill="1" applyBorder="1" applyAlignment="1">
      <alignment vertical="center"/>
    </xf>
    <xf numFmtId="0" fontId="7" fillId="0" borderId="14" xfId="0" applyFont="1" applyBorder="1" applyAlignment="1">
      <alignment horizontal="center" vertical="center"/>
    </xf>
    <xf numFmtId="0" fontId="7" fillId="0" borderId="8" xfId="0" applyFont="1" applyBorder="1" applyAlignment="1">
      <alignment vertical="center" wrapText="1"/>
    </xf>
    <xf numFmtId="0" fontId="7" fillId="0" borderId="7" xfId="0" applyFont="1" applyBorder="1" applyAlignment="1">
      <alignment vertical="center"/>
    </xf>
    <xf numFmtId="0" fontId="7" fillId="0" borderId="19" xfId="0" applyFont="1" applyBorder="1" applyAlignment="1">
      <alignment vertical="center"/>
    </xf>
    <xf numFmtId="0" fontId="7" fillId="0" borderId="8" xfId="0" applyFont="1" applyBorder="1" applyAlignment="1">
      <alignment vertical="center"/>
    </xf>
    <xf numFmtId="0" fontId="7" fillId="0" borderId="4" xfId="0" applyFont="1" applyBorder="1" applyAlignment="1">
      <alignment vertical="center"/>
    </xf>
    <xf numFmtId="4" fontId="7" fillId="0" borderId="4" xfId="0" applyNumberFormat="1" applyFont="1" applyBorder="1" applyAlignment="1">
      <alignment vertical="center"/>
    </xf>
    <xf numFmtId="40" fontId="7" fillId="0" borderId="4" xfId="0" applyNumberFormat="1" applyFont="1" applyBorder="1" applyAlignment="1">
      <alignment vertical="center"/>
    </xf>
    <xf numFmtId="0" fontId="7" fillId="0" borderId="4" xfId="0" applyFont="1" applyBorder="1" applyAlignment="1">
      <alignment horizontal="right" vertical="center"/>
    </xf>
    <xf numFmtId="0" fontId="7" fillId="0" borderId="0" xfId="0" applyFont="1" applyAlignment="1">
      <alignment vertical="center"/>
    </xf>
    <xf numFmtId="0" fontId="7" fillId="0" borderId="24" xfId="0" applyFont="1" applyBorder="1" applyAlignment="1">
      <alignment horizontal="center" vertical="center"/>
    </xf>
    <xf numFmtId="0" fontId="6" fillId="0" borderId="32" xfId="3" applyFont="1" applyBorder="1" applyAlignment="1">
      <alignment horizontal="center" vertical="top" wrapText="1"/>
    </xf>
    <xf numFmtId="3" fontId="7" fillId="0" borderId="0" xfId="0" applyNumberFormat="1" applyFont="1" applyAlignment="1">
      <alignment wrapText="1"/>
    </xf>
    <xf numFmtId="43" fontId="7" fillId="0" borderId="6" xfId="1" applyFont="1" applyBorder="1" applyAlignment="1">
      <alignment vertical="center"/>
    </xf>
    <xf numFmtId="0" fontId="0" fillId="5" borderId="0" xfId="0" applyFill="1"/>
    <xf numFmtId="0" fontId="27" fillId="0" borderId="32" xfId="0" applyFont="1" applyBorder="1" applyAlignment="1">
      <alignment wrapText="1"/>
    </xf>
    <xf numFmtId="0" fontId="10" fillId="0" borderId="4" xfId="0" applyFont="1" applyBorder="1" applyAlignment="1">
      <alignment vertical="top"/>
    </xf>
    <xf numFmtId="0" fontId="1" fillId="6" borderId="14" xfId="0" applyFont="1" applyFill="1" applyBorder="1" applyAlignment="1">
      <alignment horizontal="center" vertical="center"/>
    </xf>
    <xf numFmtId="0" fontId="1" fillId="6" borderId="8" xfId="0" applyFont="1" applyFill="1" applyBorder="1" applyAlignment="1">
      <alignment vertical="center" wrapText="1"/>
    </xf>
    <xf numFmtId="0" fontId="1" fillId="6" borderId="19" xfId="0" applyFont="1" applyFill="1" applyBorder="1" applyAlignment="1">
      <alignment vertical="center"/>
    </xf>
    <xf numFmtId="0" fontId="1" fillId="6" borderId="8" xfId="0" applyFont="1" applyFill="1" applyBorder="1" applyAlignment="1">
      <alignment vertical="center"/>
    </xf>
    <xf numFmtId="0" fontId="1" fillId="6" borderId="4" xfId="0" applyFont="1" applyFill="1" applyBorder="1" applyAlignment="1">
      <alignment vertical="center"/>
    </xf>
    <xf numFmtId="4" fontId="1" fillId="6" borderId="4" xfId="0" applyNumberFormat="1" applyFont="1" applyFill="1" applyBorder="1" applyAlignment="1">
      <alignment vertical="center"/>
    </xf>
    <xf numFmtId="40" fontId="1" fillId="6" borderId="4" xfId="0" applyNumberFormat="1" applyFont="1" applyFill="1" applyBorder="1" applyAlignment="1">
      <alignment vertical="center"/>
    </xf>
    <xf numFmtId="0" fontId="1" fillId="6" borderId="4" xfId="0" applyFont="1" applyFill="1" applyBorder="1" applyAlignment="1">
      <alignment horizontal="right" vertical="center"/>
    </xf>
    <xf numFmtId="0" fontId="1" fillId="6" borderId="0" xfId="0" applyFont="1" applyFill="1" applyAlignment="1">
      <alignment vertical="center"/>
    </xf>
    <xf numFmtId="0" fontId="22" fillId="6" borderId="32" xfId="0" applyFont="1" applyFill="1" applyBorder="1" applyAlignment="1">
      <alignment horizontal="center" vertical="center" wrapText="1"/>
    </xf>
    <xf numFmtId="1" fontId="23" fillId="6" borderId="32" xfId="0" applyNumberFormat="1" applyFont="1" applyFill="1" applyBorder="1" applyAlignment="1">
      <alignment horizontal="center" vertical="center"/>
    </xf>
    <xf numFmtId="0" fontId="23" fillId="6" borderId="32" xfId="0" applyFont="1" applyFill="1" applyBorder="1" applyAlignment="1">
      <alignment horizontal="center" vertical="center"/>
    </xf>
    <xf numFmtId="0" fontId="23" fillId="6" borderId="32" xfId="0" applyFont="1" applyFill="1" applyBorder="1" applyAlignment="1">
      <alignment vertical="center" wrapText="1"/>
    </xf>
    <xf numFmtId="43" fontId="1" fillId="6" borderId="6" xfId="1" applyFont="1" applyFill="1" applyBorder="1" applyAlignment="1">
      <alignment vertical="center"/>
    </xf>
    <xf numFmtId="0" fontId="23" fillId="6" borderId="0" xfId="0" applyFont="1" applyFill="1" applyAlignment="1">
      <alignment vertical="center"/>
    </xf>
    <xf numFmtId="0" fontId="1" fillId="6" borderId="7" xfId="0" applyFont="1" applyFill="1" applyBorder="1" applyAlignment="1">
      <alignment vertical="center"/>
    </xf>
    <xf numFmtId="0" fontId="1" fillId="6" borderId="32" xfId="0" applyFont="1" applyFill="1" applyBorder="1" applyAlignment="1">
      <alignment horizontal="right" vertical="center"/>
    </xf>
    <xf numFmtId="0" fontId="1" fillId="6" borderId="32" xfId="3" applyFont="1" applyFill="1" applyBorder="1" applyAlignment="1">
      <alignment vertical="top" wrapText="1"/>
    </xf>
    <xf numFmtId="0" fontId="1" fillId="6" borderId="32" xfId="0" applyFont="1" applyFill="1" applyBorder="1" applyAlignment="1">
      <alignment horizontal="center" vertical="center" wrapText="1"/>
    </xf>
    <xf numFmtId="4" fontId="1" fillId="6" borderId="32" xfId="0" applyNumberFormat="1" applyFont="1" applyFill="1" applyBorder="1" applyAlignment="1">
      <alignment horizontal="center" vertical="center"/>
    </xf>
    <xf numFmtId="0" fontId="1" fillId="6" borderId="6" xfId="0" applyFont="1" applyFill="1" applyBorder="1" applyAlignment="1">
      <alignment horizontal="center" vertical="center"/>
    </xf>
    <xf numFmtId="0" fontId="1" fillId="6" borderId="24" xfId="0" applyFont="1" applyFill="1" applyBorder="1" applyAlignment="1">
      <alignment horizontal="center" vertical="center"/>
    </xf>
    <xf numFmtId="0" fontId="1" fillId="6" borderId="7" xfId="0" applyFont="1" applyFill="1" applyBorder="1" applyAlignment="1">
      <alignment vertical="center" wrapText="1"/>
    </xf>
    <xf numFmtId="0" fontId="23" fillId="6" borderId="32" xfId="4" applyFont="1" applyFill="1" applyBorder="1" applyAlignment="1">
      <alignment horizontal="center" vertical="center" wrapText="1"/>
    </xf>
    <xf numFmtId="0" fontId="1" fillId="6" borderId="4" xfId="0" applyFont="1" applyFill="1" applyBorder="1" applyAlignment="1">
      <alignment vertical="center" wrapText="1"/>
    </xf>
    <xf numFmtId="0" fontId="1" fillId="6" borderId="17" xfId="0" applyFont="1" applyFill="1" applyBorder="1" applyAlignment="1">
      <alignment vertical="center"/>
    </xf>
    <xf numFmtId="0" fontId="28" fillId="6" borderId="0" xfId="0" applyFont="1" applyFill="1" applyAlignment="1">
      <alignment vertical="center"/>
    </xf>
    <xf numFmtId="0" fontId="1" fillId="6" borderId="32" xfId="3" applyFont="1" applyFill="1" applyBorder="1" applyAlignment="1">
      <alignment horizontal="center" vertical="top" wrapText="1"/>
    </xf>
    <xf numFmtId="0" fontId="1" fillId="6" borderId="32" xfId="3" applyFont="1" applyFill="1" applyBorder="1" applyAlignment="1">
      <alignment horizontal="left" vertical="top" wrapText="1"/>
    </xf>
    <xf numFmtId="43" fontId="7" fillId="6" borderId="3" xfId="3" applyNumberFormat="1" applyFont="1" applyFill="1" applyBorder="1" applyAlignment="1">
      <alignment horizontal="right" vertical="top" wrapText="1"/>
    </xf>
    <xf numFmtId="43" fontId="1" fillId="6" borderId="32" xfId="3" applyNumberFormat="1" applyFont="1" applyFill="1" applyBorder="1" applyAlignment="1">
      <alignment horizontal="right" vertical="top" wrapText="1"/>
    </xf>
    <xf numFmtId="0" fontId="30" fillId="0" borderId="0" xfId="0" applyFont="1"/>
    <xf numFmtId="0" fontId="31" fillId="0" borderId="0" xfId="0" applyFont="1" applyAlignment="1">
      <alignment horizontal="center" vertical="center"/>
    </xf>
    <xf numFmtId="0" fontId="27" fillId="6" borderId="32"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35" xfId="0" applyFont="1" applyFill="1" applyBorder="1" applyAlignment="1">
      <alignment horizontal="left" vertical="center"/>
    </xf>
    <xf numFmtId="0" fontId="27" fillId="6" borderId="32" xfId="0" applyFont="1" applyFill="1" applyBorder="1" applyAlignment="1">
      <alignment horizontal="center" vertical="center" wrapText="1"/>
    </xf>
    <xf numFmtId="4" fontId="32" fillId="6" borderId="34" xfId="4" applyNumberFormat="1" applyFont="1" applyFill="1" applyBorder="1" applyAlignment="1">
      <alignment horizontal="center" vertical="center" wrapText="1"/>
    </xf>
    <xf numFmtId="49" fontId="27" fillId="6" borderId="32" xfId="0" applyNumberFormat="1" applyFont="1" applyFill="1" applyBorder="1" applyAlignment="1">
      <alignment horizontal="center" vertical="center"/>
    </xf>
    <xf numFmtId="0" fontId="27" fillId="6" borderId="32" xfId="0" applyFont="1" applyFill="1" applyBorder="1" applyAlignment="1">
      <alignment vertical="center"/>
    </xf>
    <xf numFmtId="0" fontId="27" fillId="6" borderId="32" xfId="0" applyFont="1" applyFill="1" applyBorder="1" applyAlignment="1">
      <alignment vertical="center" wrapText="1"/>
    </xf>
    <xf numFmtId="0" fontId="30" fillId="6" borderId="0" xfId="0" applyFont="1" applyFill="1"/>
    <xf numFmtId="0" fontId="27" fillId="0" borderId="32" xfId="0" applyFont="1" applyBorder="1" applyAlignment="1">
      <alignment horizontal="center" vertical="center"/>
    </xf>
    <xf numFmtId="0" fontId="27" fillId="0" borderId="32" xfId="0" applyFont="1" applyBorder="1" applyAlignment="1">
      <alignment horizontal="left" vertical="center" wrapText="1"/>
    </xf>
    <xf numFmtId="0" fontId="27" fillId="0" borderId="35" xfId="0" applyFont="1" applyBorder="1" applyAlignment="1">
      <alignment horizontal="left" vertical="center"/>
    </xf>
    <xf numFmtId="0" fontId="27" fillId="0" borderId="32" xfId="0" applyFont="1" applyBorder="1" applyAlignment="1">
      <alignment horizontal="center" vertical="center" wrapText="1"/>
    </xf>
    <xf numFmtId="4" fontId="32" fillId="0" borderId="34" xfId="4" applyNumberFormat="1" applyFont="1" applyFill="1" applyBorder="1" applyAlignment="1">
      <alignment horizontal="center" vertical="center" wrapText="1"/>
    </xf>
    <xf numFmtId="164" fontId="27" fillId="0" borderId="32" xfId="0" applyNumberFormat="1" applyFont="1" applyBorder="1" applyAlignment="1">
      <alignment horizontal="center" vertical="center"/>
    </xf>
    <xf numFmtId="49" fontId="27" fillId="0" borderId="32" xfId="0" applyNumberFormat="1" applyFont="1" applyBorder="1" applyAlignment="1">
      <alignment horizontal="center" vertical="center"/>
    </xf>
    <xf numFmtId="0" fontId="27" fillId="0" borderId="32" xfId="0" applyFont="1" applyBorder="1" applyAlignment="1">
      <alignment vertical="center"/>
    </xf>
    <xf numFmtId="0" fontId="27" fillId="0" borderId="32" xfId="0" applyFont="1" applyBorder="1" applyAlignment="1">
      <alignment vertical="center" wrapText="1"/>
    </xf>
    <xf numFmtId="0" fontId="27" fillId="2" borderId="32" xfId="0" applyFont="1" applyFill="1" applyBorder="1" applyAlignment="1">
      <alignment horizontal="center" vertical="center"/>
    </xf>
    <xf numFmtId="0" fontId="27" fillId="2" borderId="32" xfId="0" applyFont="1" applyFill="1" applyBorder="1" applyAlignment="1">
      <alignment horizontal="left" vertical="center" wrapText="1"/>
    </xf>
    <xf numFmtId="0" fontId="27" fillId="2" borderId="35" xfId="0" applyFont="1" applyFill="1" applyBorder="1" applyAlignment="1">
      <alignment horizontal="left" vertical="center"/>
    </xf>
    <xf numFmtId="0" fontId="27" fillId="2" borderId="32" xfId="0" applyFont="1" applyFill="1" applyBorder="1" applyAlignment="1">
      <alignment horizontal="center" vertical="center" wrapText="1"/>
    </xf>
    <xf numFmtId="4" fontId="32" fillId="2" borderId="34" xfId="4" applyNumberFormat="1" applyFont="1" applyFill="1" applyBorder="1" applyAlignment="1">
      <alignment horizontal="center" vertical="center" wrapText="1"/>
    </xf>
    <xf numFmtId="49" fontId="27" fillId="2" borderId="32" xfId="0" applyNumberFormat="1" applyFont="1" applyFill="1" applyBorder="1" applyAlignment="1">
      <alignment horizontal="center" vertical="center"/>
    </xf>
    <xf numFmtId="0" fontId="27" fillId="2" borderId="32" xfId="0" applyFont="1" applyFill="1" applyBorder="1" applyAlignment="1">
      <alignment vertical="center"/>
    </xf>
    <xf numFmtId="0" fontId="30" fillId="2" borderId="32" xfId="4" applyFont="1" applyFill="1" applyBorder="1" applyAlignment="1">
      <alignment vertical="center" wrapText="1"/>
    </xf>
    <xf numFmtId="0" fontId="30" fillId="2" borderId="32" xfId="4" applyFont="1" applyFill="1" applyBorder="1" applyAlignment="1">
      <alignment horizontal="center" vertical="center" wrapText="1"/>
    </xf>
    <xf numFmtId="0" fontId="30" fillId="2" borderId="0" xfId="0" applyFont="1" applyFill="1"/>
    <xf numFmtId="0" fontId="27" fillId="0" borderId="32" xfId="0" applyFont="1" applyBorder="1"/>
    <xf numFmtId="49" fontId="27" fillId="0" borderId="32" xfId="0" applyNumberFormat="1" applyFont="1" applyBorder="1" applyAlignment="1">
      <alignment horizontal="center" vertical="center" wrapText="1"/>
    </xf>
    <xf numFmtId="4" fontId="27" fillId="0" borderId="32" xfId="0" applyNumberFormat="1" applyFont="1" applyBorder="1" applyAlignment="1">
      <alignment horizontal="center" vertical="center"/>
    </xf>
    <xf numFmtId="4" fontId="27" fillId="0" borderId="0" xfId="0" applyNumberFormat="1" applyFont="1" applyAlignment="1">
      <alignment vertical="center"/>
    </xf>
    <xf numFmtId="0" fontId="27" fillId="0" borderId="0" xfId="0" applyFont="1" applyAlignment="1">
      <alignment horizontal="center" vertical="center"/>
    </xf>
    <xf numFmtId="49" fontId="27" fillId="0" borderId="0" xfId="0" applyNumberFormat="1" applyFont="1" applyAlignment="1">
      <alignment horizontal="center" vertical="center"/>
    </xf>
    <xf numFmtId="0" fontId="27" fillId="0" borderId="0" xfId="0" applyFont="1" applyAlignment="1">
      <alignment vertical="center"/>
    </xf>
    <xf numFmtId="4" fontId="31" fillId="2" borderId="0" xfId="0" applyNumberFormat="1" applyFont="1" applyFill="1" applyAlignment="1">
      <alignment vertical="center"/>
    </xf>
    <xf numFmtId="40" fontId="27" fillId="0" borderId="0" xfId="0" applyNumberFormat="1" applyFont="1" applyAlignment="1">
      <alignment horizontal="center" vertical="center"/>
    </xf>
    <xf numFmtId="4" fontId="27" fillId="0" borderId="0" xfId="0" applyNumberFormat="1" applyFont="1" applyAlignment="1">
      <alignment horizontal="center" vertical="center"/>
    </xf>
    <xf numFmtId="0" fontId="0" fillId="7" borderId="0" xfId="0" applyFill="1"/>
    <xf numFmtId="0" fontId="33" fillId="0" borderId="37" xfId="0" applyFont="1" applyBorder="1" applyAlignment="1">
      <alignment horizontal="center" vertical="center"/>
    </xf>
    <xf numFmtId="0" fontId="34" fillId="0" borderId="0" xfId="0" applyFont="1"/>
    <xf numFmtId="0" fontId="34" fillId="0" borderId="0" xfId="0" applyFont="1" applyAlignment="1">
      <alignment vertical="center"/>
    </xf>
    <xf numFmtId="0" fontId="34" fillId="0" borderId="37" xfId="0" applyFont="1" applyBorder="1" applyAlignment="1">
      <alignment horizontal="center" vertical="center"/>
    </xf>
    <xf numFmtId="0" fontId="35" fillId="0" borderId="37" xfId="0" applyFont="1" applyBorder="1" applyAlignment="1">
      <alignment horizontal="left" vertical="center" wrapText="1"/>
    </xf>
    <xf numFmtId="49" fontId="35" fillId="8" borderId="37" xfId="0" applyNumberFormat="1" applyFont="1" applyFill="1" applyBorder="1" applyAlignment="1">
      <alignment horizontal="center" vertical="center"/>
    </xf>
    <xf numFmtId="0" fontId="35" fillId="0" borderId="37" xfId="0" applyFont="1" applyBorder="1" applyAlignment="1">
      <alignment horizontal="center" vertical="center"/>
    </xf>
    <xf numFmtId="0" fontId="27" fillId="0" borderId="0" xfId="0" applyFont="1" applyAlignment="1">
      <alignment horizontal="left" vertical="center"/>
    </xf>
    <xf numFmtId="0" fontId="34" fillId="0" borderId="0" xfId="0" applyFont="1" applyAlignment="1">
      <alignment horizontal="left" vertical="center"/>
    </xf>
    <xf numFmtId="0" fontId="34" fillId="0" borderId="0" xfId="0" applyFont="1" applyAlignment="1">
      <alignment horizontal="center" vertical="center"/>
    </xf>
    <xf numFmtId="0" fontId="35" fillId="8" borderId="37" xfId="0" applyFont="1" applyFill="1" applyBorder="1" applyAlignment="1">
      <alignment horizontal="left" vertical="center" wrapText="1"/>
    </xf>
    <xf numFmtId="0" fontId="34" fillId="8" borderId="37" xfId="0" applyFont="1" applyFill="1" applyBorder="1" applyAlignment="1">
      <alignment horizontal="center" vertical="center"/>
    </xf>
    <xf numFmtId="0" fontId="35" fillId="8" borderId="37" xfId="0" applyFont="1" applyFill="1" applyBorder="1" applyAlignment="1">
      <alignment horizontal="left" vertical="center"/>
    </xf>
    <xf numFmtId="0" fontId="35" fillId="8" borderId="37" xfId="0" applyFont="1" applyFill="1" applyBorder="1" applyAlignment="1">
      <alignment horizontal="center" vertical="center"/>
    </xf>
    <xf numFmtId="0" fontId="34" fillId="0" borderId="37" xfId="0" applyFont="1" applyBorder="1" applyAlignment="1">
      <alignment horizontal="left" vertical="center"/>
    </xf>
    <xf numFmtId="0" fontId="34" fillId="0" borderId="37" xfId="0" applyFont="1" applyBorder="1" applyAlignment="1">
      <alignment horizontal="left" vertical="center" wrapText="1"/>
    </xf>
    <xf numFmtId="49" fontId="34" fillId="0" borderId="37" xfId="0" applyNumberFormat="1" applyFont="1" applyBorder="1" applyAlignment="1">
      <alignment horizontal="center" vertical="center"/>
    </xf>
    <xf numFmtId="0" fontId="27" fillId="0" borderId="37" xfId="0" applyFont="1" applyBorder="1" applyAlignment="1">
      <alignment horizontal="center" vertical="center"/>
    </xf>
    <xf numFmtId="0" fontId="34" fillId="0" borderId="0" xfId="0" applyFont="1" applyAlignment="1">
      <alignment horizontal="center"/>
    </xf>
    <xf numFmtId="0" fontId="36" fillId="0" borderId="0" xfId="0" applyFont="1" applyAlignment="1">
      <alignment horizontal="center"/>
    </xf>
    <xf numFmtId="0" fontId="31" fillId="0" borderId="33" xfId="0" applyFont="1" applyBorder="1" applyAlignment="1">
      <alignment horizontal="center" vertical="center"/>
    </xf>
    <xf numFmtId="49" fontId="31" fillId="0" borderId="33" xfId="0" applyNumberFormat="1" applyFont="1" applyBorder="1" applyAlignment="1">
      <alignment horizontal="center" vertical="center"/>
    </xf>
    <xf numFmtId="0" fontId="27" fillId="0" borderId="37" xfId="0" applyFont="1" applyBorder="1" applyAlignment="1">
      <alignment vertical="center"/>
    </xf>
    <xf numFmtId="0" fontId="34" fillId="9" borderId="37" xfId="0" applyFont="1" applyFill="1" applyBorder="1" applyAlignment="1">
      <alignment horizontal="center" vertical="center"/>
    </xf>
    <xf numFmtId="0" fontId="34" fillId="9" borderId="37" xfId="0" applyFont="1" applyFill="1" applyBorder="1" applyAlignment="1">
      <alignment horizontal="left" vertical="center"/>
    </xf>
    <xf numFmtId="49" fontId="34" fillId="9" borderId="37" xfId="0" applyNumberFormat="1" applyFont="1" applyFill="1" applyBorder="1" applyAlignment="1">
      <alignment horizontal="center" vertical="center"/>
    </xf>
    <xf numFmtId="0" fontId="27" fillId="9" borderId="37" xfId="0" applyFont="1" applyFill="1" applyBorder="1" applyAlignment="1">
      <alignment vertical="center" wrapText="1"/>
    </xf>
    <xf numFmtId="0" fontId="27" fillId="9" borderId="37" xfId="0" applyFont="1" applyFill="1" applyBorder="1" applyAlignment="1">
      <alignment horizontal="center" vertical="center"/>
    </xf>
    <xf numFmtId="0" fontId="27" fillId="9" borderId="0" xfId="0" applyFont="1" applyFill="1" applyAlignment="1">
      <alignment vertical="center"/>
    </xf>
    <xf numFmtId="0" fontId="34" fillId="9" borderId="0" xfId="0" applyFont="1" applyFill="1" applyAlignment="1">
      <alignment vertical="center"/>
    </xf>
    <xf numFmtId="15" fontId="27" fillId="9" borderId="37" xfId="0" applyNumberFormat="1" applyFont="1" applyFill="1" applyBorder="1" applyAlignment="1">
      <alignment horizontal="center" vertical="center"/>
    </xf>
    <xf numFmtId="0" fontId="34" fillId="9" borderId="37" xfId="0" applyFont="1" applyFill="1" applyBorder="1" applyAlignment="1">
      <alignment horizontal="left" vertical="center" wrapText="1"/>
    </xf>
    <xf numFmtId="0" fontId="34" fillId="9" borderId="37" xfId="0" applyFont="1" applyFill="1" applyBorder="1" applyAlignment="1">
      <alignment horizontal="center" vertical="center" wrapText="1"/>
    </xf>
    <xf numFmtId="0" fontId="35" fillId="10" borderId="37" xfId="0" applyFont="1" applyFill="1" applyBorder="1" applyAlignment="1">
      <alignment horizontal="left" vertical="center" wrapText="1"/>
    </xf>
    <xf numFmtId="0" fontId="1" fillId="9" borderId="14" xfId="0" applyFont="1" applyFill="1" applyBorder="1" applyAlignment="1">
      <alignment horizontal="center" vertical="center"/>
    </xf>
    <xf numFmtId="0" fontId="1" fillId="9" borderId="8" xfId="0" applyFont="1" applyFill="1" applyBorder="1" applyAlignment="1">
      <alignment vertical="center" wrapText="1"/>
    </xf>
    <xf numFmtId="0" fontId="1" fillId="9" borderId="7" xfId="0" applyFont="1" applyFill="1" applyBorder="1" applyAlignment="1">
      <alignment vertical="center"/>
    </xf>
    <xf numFmtId="0" fontId="1" fillId="9" borderId="19" xfId="0" applyFont="1" applyFill="1" applyBorder="1" applyAlignment="1">
      <alignment vertical="center"/>
    </xf>
    <xf numFmtId="0" fontId="1" fillId="9" borderId="8" xfId="0" applyFont="1" applyFill="1" applyBorder="1" applyAlignment="1">
      <alignment vertical="center"/>
    </xf>
    <xf numFmtId="0" fontId="1" fillId="9" borderId="4" xfId="0" applyFont="1" applyFill="1" applyBorder="1" applyAlignment="1">
      <alignment vertical="center"/>
    </xf>
    <xf numFmtId="4" fontId="1" fillId="9" borderId="4" xfId="0" applyNumberFormat="1" applyFont="1" applyFill="1" applyBorder="1" applyAlignment="1">
      <alignment vertical="center"/>
    </xf>
    <xf numFmtId="40" fontId="1" fillId="9" borderId="4" xfId="0" applyNumberFormat="1" applyFont="1" applyFill="1" applyBorder="1" applyAlignment="1">
      <alignment vertical="center"/>
    </xf>
    <xf numFmtId="0" fontId="1" fillId="9" borderId="4" xfId="0" applyFont="1" applyFill="1" applyBorder="1" applyAlignment="1">
      <alignment horizontal="right" vertical="center"/>
    </xf>
    <xf numFmtId="0" fontId="1" fillId="9" borderId="0" xfId="0" applyFont="1" applyFill="1" applyAlignment="1">
      <alignment vertical="center" wrapText="1"/>
    </xf>
    <xf numFmtId="0" fontId="1" fillId="9" borderId="0" xfId="0" applyFont="1" applyFill="1" applyAlignment="1">
      <alignment vertical="center"/>
    </xf>
    <xf numFmtId="0" fontId="34" fillId="10" borderId="37" xfId="0" applyFont="1" applyFill="1" applyBorder="1" applyAlignment="1">
      <alignment horizontal="center" vertical="center"/>
    </xf>
    <xf numFmtId="49" fontId="35" fillId="10" borderId="37" xfId="0" applyNumberFormat="1" applyFont="1" applyFill="1" applyBorder="1" applyAlignment="1">
      <alignment horizontal="center" vertical="center"/>
    </xf>
    <xf numFmtId="0" fontId="27" fillId="9" borderId="37" xfId="0" applyFont="1" applyFill="1" applyBorder="1" applyAlignment="1">
      <alignment vertical="center"/>
    </xf>
    <xf numFmtId="0" fontId="27" fillId="9" borderId="37" xfId="0" applyFont="1" applyFill="1" applyBorder="1" applyAlignment="1">
      <alignment horizontal="left" vertical="center" wrapText="1"/>
    </xf>
    <xf numFmtId="0" fontId="27" fillId="9" borderId="37" xfId="0" applyFont="1" applyFill="1" applyBorder="1" applyAlignment="1">
      <alignment horizontal="center" vertical="center" wrapText="1"/>
    </xf>
    <xf numFmtId="0" fontId="35" fillId="10" borderId="37" xfId="0" applyFont="1" applyFill="1" applyBorder="1" applyAlignment="1">
      <alignment horizontal="left" vertical="center"/>
    </xf>
    <xf numFmtId="0" fontId="35" fillId="10" borderId="37" xfId="0" applyFont="1" applyFill="1" applyBorder="1" applyAlignment="1">
      <alignment vertical="center" wrapText="1"/>
    </xf>
    <xf numFmtId="0" fontId="35" fillId="9" borderId="37" xfId="0" applyFont="1" applyFill="1" applyBorder="1" applyAlignment="1">
      <alignment horizontal="left" vertical="center" wrapText="1"/>
    </xf>
    <xf numFmtId="0" fontId="35" fillId="9" borderId="37" xfId="0" applyFont="1" applyFill="1" applyBorder="1" applyAlignment="1">
      <alignment horizontal="center" vertical="center" wrapText="1"/>
    </xf>
    <xf numFmtId="0" fontId="35" fillId="10" borderId="38" xfId="0" applyFont="1" applyFill="1" applyBorder="1" applyAlignment="1">
      <alignment horizontal="left" vertical="center" wrapText="1"/>
    </xf>
    <xf numFmtId="0" fontId="35" fillId="10" borderId="37" xfId="0" applyFont="1" applyFill="1" applyBorder="1" applyAlignment="1">
      <alignment horizontal="center" vertical="center"/>
    </xf>
    <xf numFmtId="4" fontId="34" fillId="0" borderId="0" xfId="0" applyNumberFormat="1" applyFont="1"/>
    <xf numFmtId="0" fontId="34" fillId="11" borderId="37" xfId="0" applyFont="1" applyFill="1" applyBorder="1" applyAlignment="1">
      <alignment horizontal="center" vertical="center"/>
    </xf>
    <xf numFmtId="49" fontId="35" fillId="12" borderId="37" xfId="0" applyNumberFormat="1" applyFont="1" applyFill="1" applyBorder="1" applyAlignment="1">
      <alignment horizontal="center" vertical="center"/>
    </xf>
    <xf numFmtId="0" fontId="27" fillId="11" borderId="37" xfId="0" applyFont="1" applyFill="1" applyBorder="1" applyAlignment="1">
      <alignment horizontal="center" vertical="center"/>
    </xf>
    <xf numFmtId="0" fontId="27" fillId="11" borderId="37" xfId="0" applyFont="1" applyFill="1" applyBorder="1" applyAlignment="1">
      <alignment vertical="center"/>
    </xf>
    <xf numFmtId="0" fontId="27" fillId="11" borderId="0" xfId="0" applyFont="1" applyFill="1" applyAlignment="1">
      <alignment vertical="center"/>
    </xf>
    <xf numFmtId="0" fontId="34" fillId="11" borderId="0" xfId="0" applyFont="1" applyFill="1" applyAlignment="1">
      <alignment vertical="center"/>
    </xf>
    <xf numFmtId="0" fontId="35" fillId="11" borderId="37" xfId="0" applyFont="1" applyFill="1" applyBorder="1" applyAlignment="1">
      <alignment horizontal="left" vertical="center" wrapText="1"/>
    </xf>
    <xf numFmtId="0" fontId="35" fillId="11" borderId="37" xfId="0" applyFont="1" applyFill="1" applyBorder="1" applyAlignment="1">
      <alignment horizontal="center" vertical="center"/>
    </xf>
    <xf numFmtId="0" fontId="34" fillId="11" borderId="37" xfId="0" applyFont="1" applyFill="1" applyBorder="1" applyAlignment="1">
      <alignment horizontal="center" vertical="center" wrapText="1"/>
    </xf>
    <xf numFmtId="0" fontId="34" fillId="9" borderId="38" xfId="0" applyFont="1" applyFill="1" applyBorder="1" applyAlignment="1">
      <alignment horizontal="center" vertical="center"/>
    </xf>
    <xf numFmtId="0" fontId="34" fillId="9" borderId="38" xfId="0" applyFont="1" applyFill="1" applyBorder="1" applyAlignment="1">
      <alignment horizontal="left" vertical="center"/>
    </xf>
    <xf numFmtId="49" fontId="34" fillId="9" borderId="38" xfId="0" applyNumberFormat="1" applyFont="1" applyFill="1" applyBorder="1" applyAlignment="1">
      <alignment horizontal="center" vertical="center"/>
    </xf>
    <xf numFmtId="0" fontId="34" fillId="9" borderId="0" xfId="0" applyFont="1" applyFill="1"/>
    <xf numFmtId="0" fontId="27" fillId="2" borderId="0" xfId="0" applyFont="1" applyFill="1" applyAlignment="1">
      <alignment vertical="center"/>
    </xf>
    <xf numFmtId="0" fontId="34" fillId="2" borderId="0" xfId="0" applyFont="1" applyFill="1" applyAlignment="1">
      <alignment vertical="center"/>
    </xf>
    <xf numFmtId="0" fontId="27" fillId="0" borderId="0" xfId="0" applyFont="1" applyAlignment="1">
      <alignment horizontal="left" vertical="center" wrapText="1"/>
    </xf>
    <xf numFmtId="0" fontId="34" fillId="0" borderId="0" xfId="0" applyFont="1" applyAlignment="1">
      <alignment horizontal="left" vertical="center" wrapText="1"/>
    </xf>
    <xf numFmtId="0" fontId="27" fillId="0" borderId="0" xfId="0" applyFont="1" applyAlignment="1">
      <alignment vertical="center" wrapText="1"/>
    </xf>
    <xf numFmtId="0" fontId="34" fillId="0" borderId="0" xfId="0" applyFont="1" applyAlignment="1">
      <alignment wrapText="1"/>
    </xf>
    <xf numFmtId="0" fontId="27" fillId="9" borderId="0" xfId="0" applyFont="1" applyFill="1" applyAlignment="1">
      <alignment vertical="center" wrapText="1"/>
    </xf>
    <xf numFmtId="0" fontId="34" fillId="10" borderId="37" xfId="0" applyFont="1" applyFill="1" applyBorder="1" applyAlignment="1">
      <alignment horizontal="center" vertical="center" wrapText="1"/>
    </xf>
    <xf numFmtId="0" fontId="31" fillId="0" borderId="32" xfId="0" applyFont="1" applyBorder="1" applyAlignment="1">
      <alignment horizontal="center" vertical="center"/>
    </xf>
    <xf numFmtId="49" fontId="31" fillId="0" borderId="32" xfId="0" applyNumberFormat="1" applyFont="1" applyBorder="1" applyAlignment="1">
      <alignment horizontal="center" vertical="center"/>
    </xf>
    <xf numFmtId="0" fontId="39" fillId="0" borderId="32" xfId="0" applyFont="1" applyBorder="1" applyAlignment="1">
      <alignment horizontal="center" vertical="center"/>
    </xf>
    <xf numFmtId="0" fontId="39" fillId="0" borderId="32" xfId="0" applyFont="1" applyBorder="1" applyAlignment="1">
      <alignment horizontal="center" vertical="center" wrapText="1"/>
    </xf>
    <xf numFmtId="4" fontId="39" fillId="0" borderId="32" xfId="0" applyNumberFormat="1" applyFont="1" applyBorder="1" applyAlignment="1">
      <alignment horizontal="center" vertical="center"/>
    </xf>
    <xf numFmtId="4" fontId="39" fillId="0" borderId="32" xfId="0" applyNumberFormat="1" applyFont="1" applyBorder="1" applyAlignment="1">
      <alignment horizontal="center" vertical="center" wrapText="1"/>
    </xf>
    <xf numFmtId="40" fontId="39" fillId="0" borderId="32" xfId="0" applyNumberFormat="1" applyFont="1" applyBorder="1" applyAlignment="1">
      <alignment horizontal="center" vertical="center"/>
    </xf>
    <xf numFmtId="0" fontId="39" fillId="0" borderId="32" xfId="0" applyFont="1" applyBorder="1" applyAlignment="1">
      <alignment horizontal="left" vertical="center" wrapText="1"/>
    </xf>
    <xf numFmtId="4" fontId="39" fillId="0" borderId="32" xfId="0" applyNumberFormat="1" applyFont="1" applyBorder="1" applyAlignment="1">
      <alignment horizontal="left" vertical="center"/>
    </xf>
    <xf numFmtId="43" fontId="39" fillId="0" borderId="32" xfId="1" applyFont="1" applyFill="1" applyBorder="1" applyAlignment="1">
      <alignment vertical="center"/>
    </xf>
    <xf numFmtId="4" fontId="39" fillId="0" borderId="32" xfId="0" applyNumberFormat="1" applyFont="1" applyBorder="1" applyAlignment="1">
      <alignment vertical="center"/>
    </xf>
    <xf numFmtId="40" fontId="39" fillId="0" borderId="32" xfId="0" applyNumberFormat="1" applyFont="1" applyBorder="1" applyAlignment="1">
      <alignment vertical="center"/>
    </xf>
    <xf numFmtId="4" fontId="40" fillId="0" borderId="32" xfId="4" applyNumberFormat="1" applyFont="1" applyFill="1" applyBorder="1" applyAlignment="1">
      <alignment horizontal="center" vertical="center" wrapText="1"/>
    </xf>
    <xf numFmtId="0" fontId="39" fillId="0" borderId="32" xfId="0" applyFont="1" applyBorder="1" applyAlignment="1">
      <alignment vertical="center"/>
    </xf>
    <xf numFmtId="14" fontId="39" fillId="0" borderId="32" xfId="0" applyNumberFormat="1" applyFont="1" applyBorder="1" applyAlignment="1">
      <alignment vertical="center"/>
    </xf>
    <xf numFmtId="0" fontId="39" fillId="0" borderId="32" xfId="0" applyFont="1" applyBorder="1" applyAlignment="1">
      <alignment vertical="center" wrapText="1"/>
    </xf>
    <xf numFmtId="164" fontId="39" fillId="0" borderId="32" xfId="0" applyNumberFormat="1" applyFont="1" applyBorder="1" applyAlignment="1">
      <alignment vertical="center"/>
    </xf>
    <xf numFmtId="0" fontId="37" fillId="0" borderId="32" xfId="4" applyFont="1" applyFill="1" applyBorder="1" applyAlignment="1">
      <alignment vertical="center" wrapText="1"/>
    </xf>
    <xf numFmtId="0" fontId="39" fillId="2" borderId="32" xfId="0" applyFont="1" applyFill="1" applyBorder="1" applyAlignment="1">
      <alignment horizontal="center" vertical="center"/>
    </xf>
    <xf numFmtId="0" fontId="39" fillId="2" borderId="32" xfId="0" applyFont="1" applyFill="1" applyBorder="1" applyAlignment="1">
      <alignment horizontal="left" vertical="center" wrapText="1"/>
    </xf>
    <xf numFmtId="4" fontId="39" fillId="2" borderId="32" xfId="0" applyNumberFormat="1" applyFont="1" applyFill="1" applyBorder="1" applyAlignment="1">
      <alignment horizontal="left" vertical="center"/>
    </xf>
    <xf numFmtId="0" fontId="39" fillId="2" borderId="32" xfId="0" applyFont="1" applyFill="1" applyBorder="1" applyAlignment="1">
      <alignment horizontal="center" vertical="center" wrapText="1"/>
    </xf>
    <xf numFmtId="43" fontId="39" fillId="2" borderId="32" xfId="1" applyFont="1" applyFill="1" applyBorder="1" applyAlignment="1">
      <alignment vertical="center"/>
    </xf>
    <xf numFmtId="4" fontId="39" fillId="2" borderId="32" xfId="0" applyNumberFormat="1" applyFont="1" applyFill="1" applyBorder="1" applyAlignment="1">
      <alignment vertical="center"/>
    </xf>
    <xf numFmtId="40" fontId="39" fillId="2" borderId="32" xfId="0" applyNumberFormat="1" applyFont="1" applyFill="1" applyBorder="1" applyAlignment="1">
      <alignment vertical="center"/>
    </xf>
    <xf numFmtId="4" fontId="40" fillId="2" borderId="32" xfId="4" applyNumberFormat="1" applyFont="1" applyFill="1" applyBorder="1" applyAlignment="1">
      <alignment horizontal="center" vertical="center" wrapText="1"/>
    </xf>
    <xf numFmtId="0" fontId="39" fillId="2" borderId="32" xfId="0" applyFont="1" applyFill="1" applyBorder="1" applyAlignment="1">
      <alignment vertical="center"/>
    </xf>
    <xf numFmtId="0" fontId="39" fillId="2" borderId="32" xfId="0" applyFont="1" applyFill="1" applyBorder="1" applyAlignment="1">
      <alignment vertical="center" wrapText="1"/>
    </xf>
    <xf numFmtId="0" fontId="39" fillId="7" borderId="32" xfId="0" applyFont="1" applyFill="1" applyBorder="1" applyAlignment="1">
      <alignment horizontal="center" vertical="center"/>
    </xf>
    <xf numFmtId="0" fontId="39" fillId="7" borderId="32" xfId="0" applyFont="1" applyFill="1" applyBorder="1" applyAlignment="1">
      <alignment horizontal="left" vertical="center" wrapText="1"/>
    </xf>
    <xf numFmtId="4" fontId="39" fillId="7" borderId="32" xfId="0" applyNumberFormat="1" applyFont="1" applyFill="1" applyBorder="1" applyAlignment="1">
      <alignment horizontal="left" vertical="center"/>
    </xf>
    <xf numFmtId="0" fontId="39" fillId="7" borderId="32" xfId="0" applyFont="1" applyFill="1" applyBorder="1" applyAlignment="1">
      <alignment horizontal="center" vertical="center" wrapText="1"/>
    </xf>
    <xf numFmtId="43" fontId="39" fillId="7" borderId="32" xfId="1" applyFont="1" applyFill="1" applyBorder="1" applyAlignment="1">
      <alignment vertical="center"/>
    </xf>
    <xf numFmtId="4" fontId="39" fillId="7" borderId="32" xfId="0" applyNumberFormat="1" applyFont="1" applyFill="1" applyBorder="1" applyAlignment="1">
      <alignment vertical="center"/>
    </xf>
    <xf numFmtId="40" fontId="39" fillId="7" borderId="32" xfId="0" applyNumberFormat="1" applyFont="1" applyFill="1" applyBorder="1" applyAlignment="1">
      <alignment vertical="center"/>
    </xf>
    <xf numFmtId="4" fontId="40" fillId="7" borderId="32" xfId="4" applyNumberFormat="1" applyFont="1" applyFill="1" applyBorder="1" applyAlignment="1">
      <alignment horizontal="center" vertical="center" wrapText="1"/>
    </xf>
    <xf numFmtId="0" fontId="39" fillId="7" borderId="32" xfId="0" applyFont="1" applyFill="1" applyBorder="1" applyAlignment="1">
      <alignment vertical="center"/>
    </xf>
    <xf numFmtId="0" fontId="39" fillId="7" borderId="32" xfId="0" applyFont="1" applyFill="1" applyBorder="1" applyAlignment="1">
      <alignment vertical="center" wrapText="1"/>
    </xf>
    <xf numFmtId="0" fontId="39" fillId="5" borderId="32" xfId="0" applyFont="1" applyFill="1" applyBorder="1" applyAlignment="1">
      <alignment horizontal="center" vertical="center"/>
    </xf>
    <xf numFmtId="0" fontId="39" fillId="5" borderId="32" xfId="0" applyFont="1" applyFill="1" applyBorder="1" applyAlignment="1">
      <alignment horizontal="left" vertical="center" wrapText="1"/>
    </xf>
    <xf numFmtId="4" fontId="39" fillId="5" borderId="32" xfId="0" applyNumberFormat="1" applyFont="1" applyFill="1" applyBorder="1" applyAlignment="1">
      <alignment horizontal="left" vertical="center"/>
    </xf>
    <xf numFmtId="0" fontId="39" fillId="5" borderId="32" xfId="0" applyFont="1" applyFill="1" applyBorder="1" applyAlignment="1">
      <alignment horizontal="center" vertical="center" wrapText="1"/>
    </xf>
    <xf numFmtId="43" fontId="39" fillId="5" borderId="32" xfId="1" applyFont="1" applyFill="1" applyBorder="1" applyAlignment="1">
      <alignment vertical="center"/>
    </xf>
    <xf numFmtId="4" fontId="39" fillId="5" borderId="32" xfId="0" applyNumberFormat="1" applyFont="1" applyFill="1" applyBorder="1" applyAlignment="1">
      <alignment vertical="center"/>
    </xf>
    <xf numFmtId="40" fontId="39" fillId="5" borderId="32" xfId="0" applyNumberFormat="1" applyFont="1" applyFill="1" applyBorder="1" applyAlignment="1">
      <alignment vertical="center"/>
    </xf>
    <xf numFmtId="4" fontId="40" fillId="5" borderId="32" xfId="4" applyNumberFormat="1" applyFont="1" applyFill="1" applyBorder="1" applyAlignment="1">
      <alignment horizontal="center" vertical="center" wrapText="1"/>
    </xf>
    <xf numFmtId="0" fontId="39" fillId="5" borderId="32" xfId="0" applyFont="1" applyFill="1" applyBorder="1" applyAlignment="1">
      <alignment vertical="center"/>
    </xf>
    <xf numFmtId="0" fontId="39" fillId="5" borderId="32" xfId="0" applyFont="1" applyFill="1" applyBorder="1" applyAlignment="1">
      <alignment vertical="center" wrapText="1"/>
    </xf>
    <xf numFmtId="0" fontId="39" fillId="5" borderId="32" xfId="0" applyFont="1" applyFill="1" applyBorder="1"/>
    <xf numFmtId="4" fontId="41" fillId="0" borderId="32" xfId="5" applyNumberFormat="1" applyFont="1" applyFill="1" applyBorder="1" applyAlignment="1">
      <alignment vertical="center"/>
    </xf>
    <xf numFmtId="0" fontId="37" fillId="0" borderId="32" xfId="0" applyFont="1" applyBorder="1"/>
    <xf numFmtId="15" fontId="39" fillId="0" borderId="32" xfId="0" applyNumberFormat="1" applyFont="1" applyBorder="1" applyAlignment="1">
      <alignment vertical="center"/>
    </xf>
    <xf numFmtId="0" fontId="3" fillId="0" borderId="28" xfId="0" applyFont="1" applyBorder="1" applyAlignment="1">
      <alignment horizontal="center" vertical="center"/>
    </xf>
    <xf numFmtId="164" fontId="2" fillId="0" borderId="1" xfId="0" applyNumberFormat="1" applyFont="1" applyBorder="1" applyAlignment="1">
      <alignment horizontal="center" vertical="center"/>
    </xf>
    <xf numFmtId="164" fontId="2" fillId="0" borderId="32" xfId="0" applyNumberFormat="1"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164" fontId="2" fillId="0" borderId="9" xfId="0" applyNumberFormat="1" applyFont="1" applyBorder="1" applyAlignment="1">
      <alignment horizontal="center" vertical="center"/>
    </xf>
    <xf numFmtId="0" fontId="2" fillId="0" borderId="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1"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164" fontId="2" fillId="0" borderId="30" xfId="0" applyNumberFormat="1" applyFont="1" applyBorder="1" applyAlignment="1">
      <alignment horizontal="center" vertical="center"/>
    </xf>
    <xf numFmtId="164" fontId="2" fillId="0" borderId="31" xfId="0" applyNumberFormat="1" applyFont="1" applyBorder="1" applyAlignment="1">
      <alignment horizontal="center" vertical="center"/>
    </xf>
    <xf numFmtId="164"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28" xfId="0" applyFont="1" applyBorder="1" applyAlignment="1">
      <alignment horizontal="center" vertical="top"/>
    </xf>
    <xf numFmtId="0" fontId="2" fillId="0" borderId="9" xfId="0" applyFont="1" applyBorder="1" applyAlignment="1">
      <alignment horizontal="center" vertical="top"/>
    </xf>
    <xf numFmtId="0" fontId="2" fillId="0" borderId="6" xfId="0" applyFont="1" applyBorder="1" applyAlignment="1">
      <alignment horizontal="center" vertical="top"/>
    </xf>
    <xf numFmtId="0" fontId="2" fillId="0" borderId="1" xfId="0" applyFont="1" applyBorder="1" applyAlignment="1">
      <alignment horizontal="center" vertical="top"/>
    </xf>
    <xf numFmtId="165" fontId="2" fillId="0" borderId="9" xfId="0" applyNumberFormat="1" applyFont="1" applyBorder="1" applyAlignment="1">
      <alignment horizontal="center" vertical="top"/>
    </xf>
    <xf numFmtId="165" fontId="2" fillId="0" borderId="6" xfId="0" applyNumberFormat="1" applyFont="1" applyBorder="1" applyAlignment="1">
      <alignment horizontal="center" vertical="top"/>
    </xf>
    <xf numFmtId="0" fontId="2" fillId="0" borderId="9" xfId="0" applyFont="1" applyBorder="1" applyAlignment="1">
      <alignment horizontal="center" vertical="top" wrapText="1"/>
    </xf>
    <xf numFmtId="0" fontId="2" fillId="0" borderId="6" xfId="0" applyFont="1" applyBorder="1" applyAlignment="1">
      <alignment horizontal="center" vertical="top" wrapText="1"/>
    </xf>
    <xf numFmtId="0" fontId="2" fillId="0" borderId="22" xfId="0" applyFont="1" applyBorder="1" applyAlignment="1">
      <alignment horizontal="center" vertical="top"/>
    </xf>
    <xf numFmtId="0" fontId="2" fillId="0" borderId="23" xfId="0" applyFont="1" applyBorder="1" applyAlignment="1">
      <alignment horizontal="center" vertical="top"/>
    </xf>
    <xf numFmtId="0" fontId="2" fillId="0" borderId="21" xfId="0" applyFont="1" applyBorder="1" applyAlignment="1">
      <alignment horizontal="center" vertical="top"/>
    </xf>
    <xf numFmtId="0" fontId="2" fillId="0" borderId="14" xfId="0" applyFont="1" applyBorder="1" applyAlignment="1">
      <alignment horizontal="center" vertical="top"/>
    </xf>
    <xf numFmtId="0" fontId="2" fillId="0" borderId="18" xfId="0" applyFont="1" applyBorder="1" applyAlignment="1">
      <alignment horizontal="center" vertical="top"/>
    </xf>
    <xf numFmtId="0" fontId="2" fillId="0" borderId="12" xfId="0" applyFont="1" applyBorder="1" applyAlignment="1">
      <alignment horizontal="center" vertical="top"/>
    </xf>
    <xf numFmtId="0" fontId="2" fillId="0" borderId="6" xfId="0" applyFont="1" applyBorder="1" applyAlignment="1">
      <alignment horizontal="center" vertical="center"/>
    </xf>
    <xf numFmtId="164" fontId="39" fillId="0" borderId="32" xfId="0" applyNumberFormat="1" applyFont="1" applyBorder="1" applyAlignment="1">
      <alignment horizontal="center" vertical="center"/>
    </xf>
    <xf numFmtId="0" fontId="39" fillId="0" borderId="32" xfId="0" applyFont="1" applyBorder="1" applyAlignment="1">
      <alignment horizontal="center" vertical="center"/>
    </xf>
    <xf numFmtId="0" fontId="38" fillId="0" borderId="32" xfId="0" applyFont="1" applyBorder="1" applyAlignment="1">
      <alignment horizontal="center" vertical="center"/>
    </xf>
    <xf numFmtId="0" fontId="29" fillId="0" borderId="28" xfId="0" applyFont="1" applyBorder="1" applyAlignment="1">
      <alignment horizontal="center" vertical="center"/>
    </xf>
    <xf numFmtId="0" fontId="31" fillId="0" borderId="9" xfId="0" applyFont="1" applyBorder="1" applyAlignment="1">
      <alignment horizontal="center" vertical="center"/>
    </xf>
    <xf numFmtId="0" fontId="31" fillId="0" borderId="3" xfId="0" applyFont="1" applyBorder="1" applyAlignment="1">
      <alignment horizontal="center" vertical="center"/>
    </xf>
    <xf numFmtId="0" fontId="31" fillId="0" borderId="9" xfId="0" applyFont="1" applyBorder="1" applyAlignment="1">
      <alignment horizontal="center" vertical="center" wrapText="1"/>
    </xf>
    <xf numFmtId="0" fontId="31" fillId="0" borderId="3" xfId="0" applyFont="1" applyBorder="1" applyAlignment="1">
      <alignment horizontal="center" vertical="center" wrapText="1"/>
    </xf>
    <xf numFmtId="4" fontId="31" fillId="0" borderId="9" xfId="0" applyNumberFormat="1" applyFont="1" applyBorder="1" applyAlignment="1">
      <alignment horizontal="center" vertical="center"/>
    </xf>
    <xf numFmtId="4" fontId="31" fillId="0" borderId="3" xfId="0" applyNumberFormat="1" applyFont="1" applyBorder="1" applyAlignment="1">
      <alignment horizontal="center" vertical="center"/>
    </xf>
    <xf numFmtId="0" fontId="31" fillId="0" borderId="32" xfId="0" applyFont="1" applyBorder="1" applyAlignment="1">
      <alignment horizontal="center" vertical="center"/>
    </xf>
    <xf numFmtId="49" fontId="31" fillId="0" borderId="32" xfId="0" applyNumberFormat="1" applyFont="1" applyBorder="1" applyAlignment="1">
      <alignment horizontal="center" vertical="center"/>
    </xf>
    <xf numFmtId="0" fontId="33" fillId="0" borderId="32" xfId="0" applyFont="1" applyBorder="1" applyAlignment="1">
      <alignment horizontal="center" vertical="center"/>
    </xf>
    <xf numFmtId="0" fontId="33" fillId="0" borderId="32" xfId="0" applyFont="1" applyBorder="1" applyAlignment="1">
      <alignment horizontal="center" vertical="center" wrapText="1"/>
    </xf>
    <xf numFmtId="4" fontId="33" fillId="0" borderId="32" xfId="0" applyNumberFormat="1" applyFont="1" applyBorder="1" applyAlignment="1">
      <alignment horizontal="center" vertical="center"/>
    </xf>
    <xf numFmtId="0" fontId="34" fillId="0" borderId="32" xfId="0" applyFont="1" applyBorder="1" applyAlignment="1">
      <alignment horizontal="center" vertical="center"/>
    </xf>
    <xf numFmtId="0" fontId="27" fillId="9" borderId="32" xfId="0" applyFont="1" applyFill="1" applyBorder="1" applyAlignment="1">
      <alignment horizontal="center" vertical="center"/>
    </xf>
    <xf numFmtId="0" fontId="27" fillId="9" borderId="32" xfId="0" applyFont="1" applyFill="1" applyBorder="1" applyAlignment="1">
      <alignment horizontal="left" vertical="center" wrapText="1"/>
    </xf>
    <xf numFmtId="4" fontId="27" fillId="9" borderId="32" xfId="0" applyNumberFormat="1" applyFont="1" applyFill="1" applyBorder="1" applyAlignment="1">
      <alignment horizontal="center" vertical="center"/>
    </xf>
    <xf numFmtId="0" fontId="34" fillId="9" borderId="32" xfId="0" applyFont="1" applyFill="1" applyBorder="1" applyAlignment="1">
      <alignment horizontal="center" vertical="center"/>
    </xf>
    <xf numFmtId="0" fontId="27" fillId="9" borderId="32" xfId="0" applyFont="1" applyFill="1" applyBorder="1" applyAlignment="1">
      <alignment vertical="center" wrapText="1"/>
    </xf>
    <xf numFmtId="0" fontId="27" fillId="9" borderId="32" xfId="0" applyFont="1" applyFill="1" applyBorder="1" applyAlignment="1">
      <alignment vertical="center"/>
    </xf>
    <xf numFmtId="0" fontId="18" fillId="9" borderId="32" xfId="4" applyFill="1" applyBorder="1" applyAlignment="1">
      <alignment vertical="center"/>
    </xf>
    <xf numFmtId="0" fontId="27" fillId="9" borderId="32" xfId="0" applyFont="1" applyFill="1" applyBorder="1" applyAlignment="1">
      <alignment horizontal="center" vertical="center" wrapText="1"/>
    </xf>
    <xf numFmtId="0" fontId="34" fillId="9" borderId="32" xfId="0" applyFont="1" applyFill="1" applyBorder="1" applyAlignment="1">
      <alignment horizontal="center" vertical="center" wrapText="1"/>
    </xf>
    <xf numFmtId="15" fontId="27" fillId="9" borderId="32" xfId="0" applyNumberFormat="1" applyFont="1" applyFill="1" applyBorder="1" applyAlignment="1">
      <alignment horizontal="center" vertical="center" wrapText="1"/>
    </xf>
    <xf numFmtId="15" fontId="27" fillId="9" borderId="32" xfId="0" applyNumberFormat="1" applyFont="1" applyFill="1" applyBorder="1" applyAlignment="1">
      <alignment horizontal="center" vertical="center"/>
    </xf>
    <xf numFmtId="0" fontId="35" fillId="9" borderId="32" xfId="0" applyFont="1" applyFill="1" applyBorder="1" applyAlignment="1">
      <alignment vertical="center" wrapText="1"/>
    </xf>
    <xf numFmtId="4" fontId="34" fillId="9" borderId="32" xfId="0" applyNumberFormat="1" applyFont="1" applyFill="1" applyBorder="1" applyAlignment="1">
      <alignment horizontal="center" vertical="center"/>
    </xf>
    <xf numFmtId="0" fontId="35" fillId="9" borderId="32" xfId="0" applyFont="1" applyFill="1" applyBorder="1" applyAlignment="1">
      <alignment horizontal="left" vertical="center" wrapText="1"/>
    </xf>
    <xf numFmtId="0" fontId="35" fillId="0" borderId="32" xfId="0" applyFont="1" applyBorder="1" applyAlignment="1">
      <alignment horizontal="left" vertical="center" wrapText="1"/>
    </xf>
    <xf numFmtId="4" fontId="34" fillId="0" borderId="32" xfId="0" applyNumberFormat="1" applyFont="1" applyBorder="1" applyAlignment="1">
      <alignment horizontal="center" vertical="center"/>
    </xf>
    <xf numFmtId="0" fontId="35" fillId="0" borderId="32" xfId="0" applyFont="1" applyBorder="1" applyAlignment="1">
      <alignment horizontal="left" vertical="center"/>
    </xf>
    <xf numFmtId="0" fontId="35" fillId="9" borderId="32" xfId="0" applyFont="1" applyFill="1" applyBorder="1" applyAlignment="1">
      <alignment horizontal="left" vertical="center"/>
    </xf>
    <xf numFmtId="0" fontId="34" fillId="2" borderId="32" xfId="0" applyFont="1" applyFill="1" applyBorder="1" applyAlignment="1">
      <alignment horizontal="center" vertical="center"/>
    </xf>
    <xf numFmtId="0" fontId="35" fillId="2" borderId="32" xfId="0" applyFont="1" applyFill="1" applyBorder="1" applyAlignment="1">
      <alignment horizontal="left" vertical="center" wrapText="1"/>
    </xf>
    <xf numFmtId="4" fontId="34" fillId="2" borderId="32" xfId="0" applyNumberFormat="1" applyFont="1" applyFill="1" applyBorder="1" applyAlignment="1">
      <alignment horizontal="center" vertical="center"/>
    </xf>
    <xf numFmtId="0" fontId="34" fillId="2" borderId="32" xfId="0" applyFont="1" applyFill="1" applyBorder="1" applyAlignment="1">
      <alignment horizontal="center" vertical="center" wrapText="1"/>
    </xf>
    <xf numFmtId="0" fontId="34" fillId="0" borderId="32" xfId="0" applyFont="1" applyBorder="1" applyAlignment="1">
      <alignment horizontal="left" vertical="center"/>
    </xf>
    <xf numFmtId="0" fontId="34" fillId="9" borderId="32" xfId="0" applyFont="1" applyFill="1" applyBorder="1" applyAlignment="1">
      <alignment horizontal="left" vertical="center" wrapText="1"/>
    </xf>
    <xf numFmtId="0" fontId="34" fillId="2" borderId="32" xfId="0" applyFont="1" applyFill="1" applyBorder="1" applyAlignment="1">
      <alignment horizontal="left" vertical="center" wrapText="1"/>
    </xf>
    <xf numFmtId="0" fontId="27" fillId="2" borderId="32" xfId="0" applyFont="1" applyFill="1" applyBorder="1" applyAlignment="1">
      <alignment vertical="center" wrapText="1"/>
    </xf>
    <xf numFmtId="15" fontId="27" fillId="0" borderId="32" xfId="0" applyNumberFormat="1" applyFont="1" applyBorder="1" applyAlignment="1">
      <alignment horizontal="center" vertical="center"/>
    </xf>
    <xf numFmtId="0" fontId="31" fillId="9" borderId="32" xfId="0" applyFont="1" applyFill="1" applyBorder="1" applyAlignment="1">
      <alignment horizontal="center" vertical="center"/>
    </xf>
    <xf numFmtId="0" fontId="34" fillId="9" borderId="32" xfId="0" applyFont="1" applyFill="1" applyBorder="1" applyAlignment="1">
      <alignment horizontal="center"/>
    </xf>
    <xf numFmtId="0" fontId="34" fillId="0" borderId="32" xfId="0" applyFont="1" applyBorder="1" applyAlignment="1">
      <alignment horizontal="center"/>
    </xf>
    <xf numFmtId="0" fontId="27" fillId="0" borderId="32" xfId="0" applyFont="1" applyBorder="1" applyAlignment="1">
      <alignment horizontal="left" vertical="center"/>
    </xf>
    <xf numFmtId="4" fontId="31" fillId="2" borderId="32" xfId="0" applyNumberFormat="1" applyFont="1" applyFill="1" applyBorder="1" applyAlignment="1">
      <alignment horizontal="center" vertical="center"/>
    </xf>
    <xf numFmtId="0" fontId="31" fillId="0" borderId="34" xfId="0" applyFont="1" applyBorder="1" applyAlignment="1">
      <alignment horizontal="center" vertical="center"/>
    </xf>
    <xf numFmtId="0" fontId="27" fillId="9" borderId="3" xfId="0" applyFont="1" applyFill="1" applyBorder="1" applyAlignment="1">
      <alignment vertical="center"/>
    </xf>
    <xf numFmtId="0" fontId="27" fillId="0" borderId="0" xfId="0" applyFont="1" applyBorder="1" applyAlignment="1">
      <alignment vertical="center"/>
    </xf>
    <xf numFmtId="0" fontId="3" fillId="0" borderId="32" xfId="0" applyFont="1" applyBorder="1" applyAlignment="1">
      <alignment horizontal="center" vertical="center"/>
    </xf>
    <xf numFmtId="0" fontId="3" fillId="0" borderId="32" xfId="0" applyFont="1" applyBorder="1" applyAlignment="1">
      <alignment vertical="center"/>
    </xf>
    <xf numFmtId="0" fontId="2" fillId="0" borderId="32" xfId="0" applyFont="1" applyBorder="1" applyAlignment="1">
      <alignment horizontal="center" vertical="center"/>
    </xf>
    <xf numFmtId="4" fontId="2" fillId="0" borderId="32" xfId="0" applyNumberFormat="1" applyFont="1" applyBorder="1" applyAlignment="1">
      <alignment horizontal="center" vertical="center" wrapText="1"/>
    </xf>
    <xf numFmtId="40" fontId="2" fillId="0" borderId="32" xfId="0" applyNumberFormat="1" applyFont="1" applyBorder="1" applyAlignment="1">
      <alignment horizontal="center" vertical="center"/>
    </xf>
    <xf numFmtId="43" fontId="1" fillId="0" borderId="32" xfId="1" applyFont="1" applyFill="1" applyBorder="1" applyAlignment="1">
      <alignment vertical="center"/>
    </xf>
    <xf numFmtId="4" fontId="1" fillId="0" borderId="32" xfId="0" applyNumberFormat="1" applyFont="1" applyBorder="1" applyAlignment="1">
      <alignment vertical="center"/>
    </xf>
    <xf numFmtId="40" fontId="1" fillId="0" borderId="32" xfId="0" applyNumberFormat="1" applyFont="1" applyBorder="1" applyAlignment="1">
      <alignment vertical="center"/>
    </xf>
    <xf numFmtId="14" fontId="1" fillId="0" borderId="32" xfId="0" applyNumberFormat="1" applyFont="1" applyBorder="1" applyAlignment="1">
      <alignment vertical="center"/>
    </xf>
    <xf numFmtId="164" fontId="1" fillId="0" borderId="32" xfId="0" applyNumberFormat="1" applyFont="1" applyBorder="1" applyAlignment="1">
      <alignment vertical="center"/>
    </xf>
    <xf numFmtId="0" fontId="23" fillId="6" borderId="32" xfId="0" applyFont="1" applyFill="1" applyBorder="1" applyAlignment="1">
      <alignment vertical="center"/>
    </xf>
    <xf numFmtId="43" fontId="1" fillId="6" borderId="32" xfId="1" applyFont="1" applyFill="1" applyBorder="1" applyAlignment="1">
      <alignment vertical="center"/>
    </xf>
    <xf numFmtId="4" fontId="1" fillId="6" borderId="32" xfId="0" applyNumberFormat="1" applyFont="1" applyFill="1" applyBorder="1" applyAlignment="1">
      <alignment vertical="center"/>
    </xf>
    <xf numFmtId="40" fontId="1" fillId="6" borderId="32" xfId="0" applyNumberFormat="1" applyFont="1" applyFill="1" applyBorder="1" applyAlignment="1">
      <alignment vertical="center"/>
    </xf>
    <xf numFmtId="4" fontId="23" fillId="6" borderId="32" xfId="4" applyNumberFormat="1" applyFont="1" applyFill="1" applyBorder="1" applyAlignment="1">
      <alignment horizontal="center" vertical="center" wrapText="1"/>
    </xf>
    <xf numFmtId="0" fontId="1" fillId="6" borderId="32" xfId="0" applyFont="1" applyFill="1" applyBorder="1" applyAlignment="1">
      <alignment vertical="center"/>
    </xf>
    <xf numFmtId="0" fontId="1" fillId="6" borderId="32" xfId="0" applyFont="1" applyFill="1" applyBorder="1" applyAlignment="1">
      <alignment vertical="center" wrapText="1"/>
    </xf>
    <xf numFmtId="0" fontId="1" fillId="0" borderId="32" xfId="0" applyFont="1" applyBorder="1" applyAlignment="1">
      <alignment vertical="center" wrapText="1"/>
    </xf>
    <xf numFmtId="0" fontId="0" fillId="0" borderId="32" xfId="4" applyFont="1" applyFill="1" applyBorder="1" applyAlignment="1">
      <alignment vertical="center" wrapText="1"/>
    </xf>
    <xf numFmtId="4" fontId="23" fillId="0" borderId="32" xfId="4" applyNumberFormat="1" applyFont="1" applyFill="1" applyBorder="1" applyAlignment="1">
      <alignment horizontal="left" vertical="center" wrapText="1"/>
    </xf>
    <xf numFmtId="0" fontId="1" fillId="0" borderId="32" xfId="0" applyFont="1" applyBorder="1"/>
    <xf numFmtId="0" fontId="24" fillId="0" borderId="32" xfId="0" applyFont="1" applyBorder="1" applyAlignment="1">
      <alignment vertical="center" wrapText="1"/>
    </xf>
    <xf numFmtId="4" fontId="18" fillId="0" borderId="32" xfId="4" applyNumberFormat="1" applyFill="1" applyBorder="1" applyAlignment="1">
      <alignment vertical="center"/>
    </xf>
    <xf numFmtId="14" fontId="1" fillId="6" borderId="32" xfId="0" applyNumberFormat="1" applyFont="1" applyFill="1" applyBorder="1" applyAlignment="1">
      <alignment vertical="center"/>
    </xf>
    <xf numFmtId="0" fontId="2" fillId="0" borderId="28" xfId="0" applyFont="1" applyBorder="1" applyAlignment="1">
      <alignment horizontal="left" vertical="center"/>
    </xf>
    <xf numFmtId="0" fontId="2" fillId="0" borderId="28" xfId="0" applyFont="1" applyBorder="1" applyAlignment="1">
      <alignment vertical="center"/>
    </xf>
    <xf numFmtId="0" fontId="36" fillId="0" borderId="0" xfId="4" applyFont="1" applyFill="1" applyAlignment="1">
      <alignment vertical="center" wrapText="1"/>
    </xf>
  </cellXfs>
  <cellStyles count="6">
    <cellStyle name="Comma" xfId="1" builtinId="3"/>
    <cellStyle name="Hyperlink" xfId="4" builtinId="8"/>
    <cellStyle name="Neutral" xfId="5" builtinId="28"/>
    <cellStyle name="Normal" xfId="0" builtinId="0"/>
    <cellStyle name="Normal 2" xfId="3" xr:uid="{00000000-0005-0000-0000-000003000000}"/>
    <cellStyle name="ปกติ_Sheet1" xfId="2" xr:uid="{00000000-0005-0000-0000-000005000000}"/>
  </cellStyles>
  <dxfs count="0"/>
  <tableStyles count="0" defaultTableStyle="TableStyleMedium2" defaultPivotStyle="PivotStyleLight16"/>
  <colors>
    <mruColors>
      <color rgb="FFFFCCCC"/>
      <color rgb="FFFF6699"/>
      <color rgb="FF436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xdr:col>
      <xdr:colOff>68036</xdr:colOff>
      <xdr:row>5</xdr:row>
      <xdr:rowOff>328614</xdr:rowOff>
    </xdr:from>
    <xdr:ext cx="1008289" cy="2713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619125" y="2165578"/>
              <a:ext cx="1008289"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14:m>
                <m:oMath xmlns:m="http://schemas.openxmlformats.org/officeDocument/2006/math">
                  <m:sSub>
                    <m:sSubPr>
                      <m:ctrlPr>
                        <a:rPr lang="en-US" sz="1100" b="0" i="1">
                          <a:latin typeface="Cambria Math"/>
                        </a:rPr>
                      </m:ctrlPr>
                    </m:sSubPr>
                    <m:e>
                      <m:r>
                        <a:rPr lang="en-US" sz="1100" b="0" i="1">
                          <a:latin typeface="Cambria Math"/>
                        </a:rPr>
                        <m:t>𝐵𝑖</m:t>
                      </m:r>
                    </m:e>
                    <m:sub>
                      <m:r>
                        <a:rPr lang="en-US" sz="1100" b="0" i="1">
                          <a:latin typeface="Cambria Math"/>
                        </a:rPr>
                        <m:t>2</m:t>
                      </m:r>
                    </m:sub>
                  </m:sSub>
                  <m:sSub>
                    <m:sSubPr>
                      <m:ctrlPr>
                        <a:rPr lang="en-US" sz="1100" b="0" i="1">
                          <a:latin typeface="Cambria Math"/>
                        </a:rPr>
                      </m:ctrlPr>
                    </m:sSubPr>
                    <m:e>
                      <m:r>
                        <a:rPr lang="en-US" sz="1100" b="0" i="1">
                          <a:latin typeface="Cambria Math"/>
                        </a:rPr>
                        <m:t>𝑂</m:t>
                      </m:r>
                    </m:e>
                    <m:sub>
                      <m:r>
                        <a:rPr lang="en-US" sz="1100" b="0" i="1">
                          <a:latin typeface="Cambria Math"/>
                        </a:rPr>
                        <m:t>3</m:t>
                      </m:r>
                    </m:sub>
                  </m:sSub>
                </m:oMath>
              </a14:m>
              <a:r>
                <a:rPr lang="en-US" sz="1100"/>
                <a:t>/</a:t>
              </a:r>
              <a14:m>
                <m:oMath xmlns:m="http://schemas.openxmlformats.org/officeDocument/2006/math">
                  <m:sSub>
                    <m:sSubPr>
                      <m:ctrlPr>
                        <a:rPr lang="en-US" sz="1100" b="0" i="1">
                          <a:latin typeface="Cambria Math"/>
                        </a:rPr>
                      </m:ctrlPr>
                    </m:sSubPr>
                    <m:e>
                      <m:r>
                        <a:rPr lang="en-US" sz="1100" b="0" i="1">
                          <a:latin typeface="Cambria Math"/>
                        </a:rPr>
                        <m:t>𝑇𝑖𝑂</m:t>
                      </m:r>
                    </m:e>
                    <m:sub>
                      <m:r>
                        <a:rPr lang="en-US" sz="1100" b="0" i="1">
                          <a:latin typeface="Cambria Math"/>
                        </a:rPr>
                        <m:t>3</m:t>
                      </m:r>
                      <m:r>
                        <a:rPr lang="th-TH" sz="1100" b="0" i="1">
                          <a:latin typeface="Cambria Math"/>
                        </a:rPr>
                        <m:t>    </m:t>
                      </m:r>
                    </m:sub>
                  </m:sSub>
                </m:oMath>
              </a14:m>
              <a:endParaRPr lang="th-TH" sz="1100"/>
            </a:p>
          </xdr:txBody>
        </xdr:sp>
      </mc:Choice>
      <mc:Fallback xmlns="">
        <xdr:sp macro="" textlink="">
          <xdr:nvSpPr>
            <xdr:cNvPr id="4" name="TextBox 3"/>
            <xdr:cNvSpPr txBox="1"/>
          </xdr:nvSpPr>
          <xdr:spPr>
            <a:xfrm>
              <a:off x="619125" y="2165578"/>
              <a:ext cx="1008289" cy="271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th-TH" sz="1100" i="0">
                  <a:latin typeface="Cambria Math"/>
                </a:rPr>
                <a:t>〖</a:t>
              </a:r>
              <a:r>
                <a:rPr lang="en-US" sz="1100" b="0" i="0">
                  <a:latin typeface="Cambria Math"/>
                </a:rPr>
                <a:t>𝐵𝑖</a:t>
              </a:r>
              <a:r>
                <a:rPr lang="th-TH" sz="1100" b="0" i="0">
                  <a:latin typeface="Cambria Math"/>
                </a:rPr>
                <a:t>〗_</a:t>
              </a:r>
              <a:r>
                <a:rPr lang="en-US" sz="1100" b="0" i="0">
                  <a:latin typeface="Cambria Math"/>
                </a:rPr>
                <a:t>2</a:t>
              </a:r>
              <a:r>
                <a:rPr lang="th-TH" sz="1100" b="0" i="0">
                  <a:latin typeface="Cambria Math"/>
                </a:rPr>
                <a:t> </a:t>
              </a:r>
              <a:r>
                <a:rPr lang="en-US" sz="1100" b="0" i="0">
                  <a:latin typeface="Cambria Math"/>
                </a:rPr>
                <a:t>𝑂</a:t>
              </a:r>
              <a:r>
                <a:rPr lang="th-TH" sz="1100" b="0" i="0">
                  <a:latin typeface="Cambria Math"/>
                </a:rPr>
                <a:t>_</a:t>
              </a:r>
              <a:r>
                <a:rPr lang="en-US" sz="1100" b="0" i="0">
                  <a:latin typeface="Cambria Math"/>
                </a:rPr>
                <a:t>3</a:t>
              </a:r>
              <a:r>
                <a:rPr lang="en-US" sz="1100"/>
                <a:t>/</a:t>
              </a:r>
              <a:r>
                <a:rPr lang="en-US" sz="1100" i="0">
                  <a:latin typeface="Cambria Math"/>
                </a:rPr>
                <a:t>〖</a:t>
              </a:r>
              <a:r>
                <a:rPr lang="en-US" sz="1100" b="0" i="0">
                  <a:latin typeface="Cambria Math"/>
                </a:rPr>
                <a:t>𝑇𝑖𝑂〗_(3</a:t>
              </a:r>
              <a:r>
                <a:rPr lang="th-TH" sz="1100" b="0" i="0">
                  <a:latin typeface="Cambria Math"/>
                </a:rPr>
                <a:t>    </a:t>
              </a:r>
              <a:r>
                <a:rPr lang="en-US" sz="1100" b="0" i="0">
                  <a:latin typeface="Cambria Math"/>
                </a:rPr>
                <a:t>)</a:t>
              </a:r>
              <a:endParaRPr lang="th-TH"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16</xdr:col>
      <xdr:colOff>76913</xdr:colOff>
      <xdr:row>31</xdr:row>
      <xdr:rowOff>226018</xdr:rowOff>
    </xdr:from>
    <xdr:ext cx="5807222" cy="132735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23359752" y="18528261"/>
              <a:ext cx="5807222" cy="1327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14:m>
                <m:oMath xmlns:m="http://schemas.openxmlformats.org/officeDocument/2006/math">
                  <m:sSup>
                    <m:sSupPr>
                      <m:ctrlPr>
                        <a:rPr lang="th-TH" sz="1100" b="0" i="1">
                          <a:latin typeface="Cambria Math" panose="02040503050406030204" pitchFamily="18" charset="0"/>
                        </a:rPr>
                      </m:ctrlPr>
                    </m:sSupPr>
                    <m:e>
                      <m:r>
                        <a:rPr lang="th-TH" sz="1100" b="0" i="1">
                          <a:latin typeface="Cambria Math" panose="02040503050406030204" pitchFamily="18" charset="0"/>
                        </a:rPr>
                        <m:t>เผยแพร่ผลงานวิชาการ เรื่อง </m:t>
                      </m:r>
                      <m:r>
                        <m:rPr>
                          <m:nor/>
                        </m:rPr>
                        <a:rPr lang="en-US" sz="1100" b="0" i="0">
                          <a:latin typeface="Cambria Math" panose="02040503050406030204" pitchFamily="18" charset="0"/>
                        </a:rPr>
                        <m:t>Towerd Design Pattern of Digital Game−Based Learning Language Learning </m:t>
                      </m:r>
                      <m:r>
                        <a:rPr lang="th-TH" sz="1100" b="0" i="1">
                          <a:latin typeface="Cambria Math" panose="02040503050406030204" pitchFamily="18" charset="0"/>
                        </a:rPr>
                        <m:t>ในที่ประชุมวิชาการ </m:t>
                      </m:r>
                      <m:r>
                        <a:rPr lang="en-US" sz="1100" b="0" i="1">
                          <a:latin typeface="Cambria Math" panose="02040503050406030204" pitchFamily="18" charset="0"/>
                        </a:rPr>
                        <m:t>𝑇ℎ𝑒</m:t>
                      </m:r>
                      <m:r>
                        <a:rPr lang="en-US" sz="1100" b="0" i="1">
                          <a:latin typeface="Cambria Math" panose="02040503050406030204" pitchFamily="18" charset="0"/>
                        </a:rPr>
                        <m:t> 12</m:t>
                      </m:r>
                    </m:e>
                    <m:sup>
                      <m:r>
                        <a:rPr lang="en-US" sz="1100" b="0" i="1">
                          <a:latin typeface="Cambria Math" panose="02040503050406030204" pitchFamily="18" charset="0"/>
                        </a:rPr>
                        <m:t>𝑡ℎ</m:t>
                      </m:r>
                    </m:sup>
                  </m:sSup>
                </m:oMath>
              </a14:m>
              <a:r>
                <a:rPr lang="en-US" sz="1100"/>
                <a:t> European Conference on games Based Learning (ECGBL</a:t>
              </a:r>
              <a:r>
                <a:rPr lang="en-US" sz="1100" baseline="0"/>
                <a:t> 18) </a:t>
              </a:r>
              <a:r>
                <a:rPr lang="th-TH" sz="1100" baseline="0"/>
                <a:t>ณ </a:t>
              </a:r>
              <a:r>
                <a:rPr lang="en-US" sz="1100" baseline="0"/>
                <a:t>Sophia Antipolis </a:t>
              </a:r>
              <a:r>
                <a:rPr lang="th-TH" sz="1100" baseline="0"/>
                <a:t>ประเทศฝรั่งเศล </a:t>
              </a:r>
              <a:endParaRPr lang="th-TH" sz="1100"/>
            </a:p>
          </xdr:txBody>
        </xdr:sp>
      </mc:Choice>
      <mc:Fallback xmlns="">
        <xdr:sp macro="" textlink="">
          <xdr:nvSpPr>
            <xdr:cNvPr id="2" name="TextBox 1"/>
            <xdr:cNvSpPr txBox="1"/>
          </xdr:nvSpPr>
          <xdr:spPr>
            <a:xfrm>
              <a:off x="23359752" y="18528261"/>
              <a:ext cx="5807222" cy="13273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th-TH" sz="1100" i="0">
                  <a:latin typeface="Cambria Math" panose="02040503050406030204" pitchFamily="18" charset="0"/>
                </a:rPr>
                <a:t>〖</a:t>
              </a:r>
              <a:r>
                <a:rPr lang="th-TH" sz="1100" b="0" i="0">
                  <a:latin typeface="Cambria Math" panose="02040503050406030204" pitchFamily="18" charset="0"/>
                </a:rPr>
                <a:t>เผยแพร่ผลงานวิชาการ เรื่อง </a:t>
              </a:r>
              <a:r>
                <a:rPr lang="en-US" sz="1100" b="0" i="0">
                  <a:latin typeface="Cambria Math" panose="02040503050406030204" pitchFamily="18" charset="0"/>
                </a:rPr>
                <a:t>"Towerd Design Pattern of Digital Game−Based Learning Language Learning </a:t>
              </a:r>
              <a:r>
                <a:rPr lang="th-TH" sz="1100" b="0" i="0">
                  <a:latin typeface="Cambria Math" panose="02040503050406030204" pitchFamily="18" charset="0"/>
                </a:rPr>
                <a:t>" ในที่ประชุมวิชาการ </a:t>
              </a:r>
              <a:r>
                <a:rPr lang="en-US" sz="1100" b="0" i="0">
                  <a:latin typeface="Cambria Math" panose="02040503050406030204" pitchFamily="18" charset="0"/>
                </a:rPr>
                <a:t>𝑇ℎ𝑒 12</a:t>
              </a:r>
              <a:r>
                <a:rPr lang="th-TH" sz="1100" b="0" i="0">
                  <a:latin typeface="Cambria Math" panose="02040503050406030204" pitchFamily="18" charset="0"/>
                </a:rPr>
                <a:t>〗^</a:t>
              </a:r>
              <a:r>
                <a:rPr lang="en-US" sz="1100" b="0" i="0">
                  <a:latin typeface="Cambria Math" panose="02040503050406030204" pitchFamily="18" charset="0"/>
                </a:rPr>
                <a:t>𝑡ℎ</a:t>
              </a:r>
              <a:r>
                <a:rPr lang="en-US" sz="1100"/>
                <a:t> European Conference on games Based Learning (ECGBL</a:t>
              </a:r>
              <a:r>
                <a:rPr lang="en-US" sz="1100" baseline="0"/>
                <a:t> 18) </a:t>
              </a:r>
              <a:r>
                <a:rPr lang="th-TH" sz="1100" baseline="0"/>
                <a:t>ณ </a:t>
              </a:r>
              <a:r>
                <a:rPr lang="en-US" sz="1100" baseline="0"/>
                <a:t>Sophia Antipolis </a:t>
              </a:r>
              <a:r>
                <a:rPr lang="th-TH" sz="1100" baseline="0"/>
                <a:t>ประเทศฝรั่งเศล </a:t>
              </a:r>
              <a:endParaRPr lang="th-TH" sz="1100"/>
            </a:p>
          </xdr:txBody>
        </xdr:sp>
      </mc:Fallback>
    </mc:AlternateContent>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OneDrive/Desktop/Scan/&#3648;&#3629;&#3585;&#3626;&#3634;&#3619;&#3611;&#3636;&#3604;&#3607;&#3640;&#3609;&#3623;&#3636;&#3592;&#3633;&#3618;&#3588;&#3603;&#3632;/512-2564.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8.bin"/><Relationship Id="rId1" Type="http://schemas.openxmlformats.org/officeDocument/2006/relationships/hyperlink" Target="../../../OneDrive/Desktop/Scan/&#3648;&#3629;&#3585;&#3626;&#3634;&#3619;&#3611;&#3636;&#3604;&#3607;&#3640;&#3609;&#3623;&#3636;&#3592;&#3633;&#3618;&#3588;&#3603;&#3632;/&#3623;&#3607;009-2565%20&#3648;&#3585;&#3625;&#3619;&#3634;&#3619;&#3633;&#3605;&#3609;&#3660;.pdf" TargetMode="External"/><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pubs.acs.org/doi/10.1021/acsomega.6c024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6699"/>
    <pageSetUpPr fitToPage="1"/>
  </sheetPr>
  <dimension ref="A1:U31"/>
  <sheetViews>
    <sheetView topLeftCell="A6" zoomScale="70" zoomScaleNormal="70" workbookViewId="0">
      <selection activeCell="E14" sqref="E14"/>
    </sheetView>
  </sheetViews>
  <sheetFormatPr defaultColWidth="9" defaultRowHeight="24"/>
  <cols>
    <col min="1" max="1" width="8.5546875" style="7" customWidth="1"/>
    <col min="2" max="2" width="58.88671875" style="6" customWidth="1"/>
    <col min="3" max="3" width="10" style="5" customWidth="1"/>
    <col min="4" max="4" width="10.44140625" style="5" customWidth="1"/>
    <col min="5" max="5" width="13.44140625" style="5" customWidth="1"/>
    <col min="6" max="6" width="7.109375" style="5" bestFit="1" customWidth="1"/>
    <col min="7" max="7" width="14.44140625" style="5" customWidth="1"/>
    <col min="8" max="8" width="12" style="8" customWidth="1"/>
    <col min="9" max="9" width="12.6640625" style="8" customWidth="1"/>
    <col min="10" max="10" width="11.88671875" style="8" customWidth="1"/>
    <col min="11" max="11" width="12.44140625" style="8" customWidth="1"/>
    <col min="12" max="12" width="12" style="9" customWidth="1"/>
    <col min="13" max="13" width="15.5546875" style="8" customWidth="1"/>
    <col min="14" max="14" width="11.109375" style="30" customWidth="1"/>
    <col min="15" max="15" width="34.109375" style="5" customWidth="1"/>
    <col min="16" max="16384" width="9" style="5"/>
  </cols>
  <sheetData>
    <row r="1" spans="1:17" ht="27">
      <c r="A1" s="393" t="s">
        <v>508</v>
      </c>
      <c r="B1" s="393"/>
      <c r="C1" s="393"/>
      <c r="D1" s="393"/>
      <c r="E1" s="393"/>
      <c r="F1" s="393"/>
      <c r="G1" s="393"/>
      <c r="H1" s="393"/>
      <c r="I1" s="393"/>
      <c r="J1" s="393"/>
      <c r="K1" s="393"/>
      <c r="L1" s="393"/>
      <c r="M1" s="393"/>
      <c r="N1" s="393"/>
      <c r="O1" s="393"/>
    </row>
    <row r="2" spans="1:17" s="2" customFormat="1" ht="27" customHeight="1">
      <c r="A2" s="399" t="s">
        <v>0</v>
      </c>
      <c r="B2" s="399" t="s">
        <v>1</v>
      </c>
      <c r="C2" s="401" t="s">
        <v>2</v>
      </c>
      <c r="D2" s="402"/>
      <c r="E2" s="403"/>
      <c r="F2" s="396" t="s">
        <v>4</v>
      </c>
      <c r="G2" s="396" t="s">
        <v>3</v>
      </c>
      <c r="H2" s="398" t="s">
        <v>6</v>
      </c>
      <c r="I2" s="398"/>
      <c r="J2" s="398"/>
      <c r="K2" s="398"/>
      <c r="L2" s="398"/>
      <c r="M2" s="398"/>
      <c r="N2" s="396" t="s">
        <v>11</v>
      </c>
      <c r="O2" s="396" t="s">
        <v>500</v>
      </c>
    </row>
    <row r="3" spans="1:17">
      <c r="A3" s="400"/>
      <c r="B3" s="400"/>
      <c r="C3" s="404"/>
      <c r="D3" s="405"/>
      <c r="E3" s="406"/>
      <c r="F3" s="397"/>
      <c r="G3" s="397"/>
      <c r="H3" s="3" t="s">
        <v>65</v>
      </c>
      <c r="I3" s="3" t="s">
        <v>66</v>
      </c>
      <c r="J3" s="3" t="s">
        <v>67</v>
      </c>
      <c r="K3" s="3" t="s">
        <v>396</v>
      </c>
      <c r="L3" s="4" t="s">
        <v>68</v>
      </c>
      <c r="M3" s="43" t="s">
        <v>6</v>
      </c>
      <c r="N3" s="397"/>
      <c r="O3" s="397"/>
      <c r="P3" s="44"/>
    </row>
    <row r="4" spans="1:17" ht="72">
      <c r="A4" s="16">
        <f>ROW(A1)</f>
        <v>1</v>
      </c>
      <c r="B4" s="17" t="s">
        <v>7</v>
      </c>
      <c r="C4" s="45" t="s">
        <v>9</v>
      </c>
      <c r="D4" s="46" t="s">
        <v>8</v>
      </c>
      <c r="E4" s="47" t="s">
        <v>10</v>
      </c>
      <c r="F4" s="18" t="s">
        <v>524</v>
      </c>
      <c r="G4" s="18" t="s">
        <v>5</v>
      </c>
      <c r="H4" s="19">
        <v>50000</v>
      </c>
      <c r="I4" s="19">
        <v>50000</v>
      </c>
      <c r="J4" s="19"/>
      <c r="K4" s="19"/>
      <c r="L4" s="20">
        <f>H4+I4+J4-M4</f>
        <v>0</v>
      </c>
      <c r="M4" s="19">
        <v>100000</v>
      </c>
      <c r="N4" s="21" t="str">
        <f t="shared" ref="N4:N28" si="0">IF(L4=0,"ปิดทุน",IF(L4&lt;0,"ยังไม่ปิดทุน","เกินทุน"))</f>
        <v>ปิดทุน</v>
      </c>
      <c r="O4" s="18"/>
    </row>
    <row r="5" spans="1:17" ht="72">
      <c r="A5" s="16">
        <f t="shared" ref="A5:A29" si="1">ROW(A2)</f>
        <v>2</v>
      </c>
      <c r="B5" s="23" t="s">
        <v>12</v>
      </c>
      <c r="C5" s="37" t="s">
        <v>13</v>
      </c>
      <c r="D5" s="48" t="s">
        <v>14</v>
      </c>
      <c r="E5" s="36" t="s">
        <v>15</v>
      </c>
      <c r="F5" s="24" t="s">
        <v>524</v>
      </c>
      <c r="G5" s="24" t="s">
        <v>5</v>
      </c>
      <c r="H5" s="25">
        <v>50000</v>
      </c>
      <c r="I5" s="25">
        <v>50000</v>
      </c>
      <c r="J5" s="25"/>
      <c r="K5" s="25"/>
      <c r="L5" s="26">
        <f t="shared" ref="L5:L29" si="2">H5+I5+J5-M5</f>
        <v>0</v>
      </c>
      <c r="M5" s="25">
        <v>100000</v>
      </c>
      <c r="N5" s="27" t="str">
        <f t="shared" si="0"/>
        <v>ปิดทุน</v>
      </c>
      <c r="O5" s="24"/>
    </row>
    <row r="6" spans="1:17" ht="72">
      <c r="A6" s="16">
        <f t="shared" si="1"/>
        <v>3</v>
      </c>
      <c r="B6" s="23" t="s">
        <v>16</v>
      </c>
      <c r="C6" s="37" t="s">
        <v>9</v>
      </c>
      <c r="D6" s="48" t="s">
        <v>17</v>
      </c>
      <c r="E6" s="36" t="s">
        <v>18</v>
      </c>
      <c r="F6" s="24" t="s">
        <v>524</v>
      </c>
      <c r="G6" s="24" t="str">
        <f>G4</f>
        <v>ทุนนักวิจัยทั่วไป</v>
      </c>
      <c r="H6" s="25">
        <v>50000</v>
      </c>
      <c r="I6" s="25">
        <v>50000</v>
      </c>
      <c r="J6" s="25"/>
      <c r="K6" s="25"/>
      <c r="L6" s="26">
        <f t="shared" si="2"/>
        <v>0</v>
      </c>
      <c r="M6" s="25">
        <v>100000</v>
      </c>
      <c r="N6" s="27" t="str">
        <f t="shared" si="0"/>
        <v>ปิดทุน</v>
      </c>
      <c r="O6" s="28"/>
    </row>
    <row r="7" spans="1:17" s="199" customFormat="1" ht="48">
      <c r="A7" s="211">
        <f t="shared" si="1"/>
        <v>4</v>
      </c>
      <c r="B7" s="215" t="s">
        <v>19</v>
      </c>
      <c r="C7" s="206" t="s">
        <v>20</v>
      </c>
      <c r="D7" s="216" t="s">
        <v>21</v>
      </c>
      <c r="E7" s="194" t="s">
        <v>22</v>
      </c>
      <c r="F7" s="195" t="s">
        <v>519</v>
      </c>
      <c r="G7" s="195" t="str">
        <f>G6</f>
        <v>ทุนนักวิจัยทั่วไป</v>
      </c>
      <c r="H7" s="196">
        <v>35000</v>
      </c>
      <c r="I7" s="196">
        <v>0</v>
      </c>
      <c r="J7" s="196"/>
      <c r="K7" s="196"/>
      <c r="L7" s="197">
        <f t="shared" si="2"/>
        <v>-35000</v>
      </c>
      <c r="M7" s="196">
        <v>70000</v>
      </c>
      <c r="N7" s="198" t="str">
        <f t="shared" si="0"/>
        <v>ยังไม่ปิดทุน</v>
      </c>
      <c r="O7" s="195" t="s">
        <v>1118</v>
      </c>
      <c r="P7" s="199">
        <v>5542101</v>
      </c>
      <c r="Q7" s="217" t="s">
        <v>1158</v>
      </c>
    </row>
    <row r="8" spans="1:17">
      <c r="A8" s="16">
        <f t="shared" si="1"/>
        <v>5</v>
      </c>
      <c r="B8" s="23" t="s">
        <v>23</v>
      </c>
      <c r="C8" s="37" t="s">
        <v>20</v>
      </c>
      <c r="D8" s="48" t="s">
        <v>24</v>
      </c>
      <c r="E8" s="36" t="s">
        <v>25</v>
      </c>
      <c r="F8" s="24" t="s">
        <v>519</v>
      </c>
      <c r="G8" s="24" t="str">
        <f>G7</f>
        <v>ทุนนักวิจัยทั่วไป</v>
      </c>
      <c r="H8" s="25">
        <v>50000</v>
      </c>
      <c r="I8" s="25">
        <v>50000</v>
      </c>
      <c r="J8" s="25"/>
      <c r="K8" s="25"/>
      <c r="L8" s="26">
        <f t="shared" si="2"/>
        <v>0</v>
      </c>
      <c r="M8" s="25">
        <v>100000</v>
      </c>
      <c r="N8" s="27" t="str">
        <f t="shared" si="0"/>
        <v>ปิดทุน</v>
      </c>
      <c r="O8" s="24"/>
    </row>
    <row r="9" spans="1:17" ht="72">
      <c r="A9" s="16">
        <f t="shared" si="1"/>
        <v>6</v>
      </c>
      <c r="B9" s="23" t="s">
        <v>26</v>
      </c>
      <c r="C9" s="37" t="s">
        <v>13</v>
      </c>
      <c r="D9" s="48" t="s">
        <v>27</v>
      </c>
      <c r="E9" s="36" t="s">
        <v>28</v>
      </c>
      <c r="F9" s="24" t="s">
        <v>519</v>
      </c>
      <c r="G9" s="24" t="str">
        <f>G8</f>
        <v>ทุนนักวิจัยทั่วไป</v>
      </c>
      <c r="H9" s="25">
        <v>50000</v>
      </c>
      <c r="I9" s="25">
        <v>50000</v>
      </c>
      <c r="J9" s="25"/>
      <c r="K9" s="25"/>
      <c r="L9" s="26">
        <f t="shared" si="2"/>
        <v>0</v>
      </c>
      <c r="M9" s="25">
        <v>100000</v>
      </c>
      <c r="N9" s="27" t="str">
        <f t="shared" si="0"/>
        <v>ปิดทุน</v>
      </c>
      <c r="O9" s="24"/>
    </row>
    <row r="10" spans="1:17" ht="72">
      <c r="A10" s="16">
        <f t="shared" si="1"/>
        <v>7</v>
      </c>
      <c r="B10" s="23" t="s">
        <v>29</v>
      </c>
      <c r="C10" s="37" t="s">
        <v>20</v>
      </c>
      <c r="D10" s="48" t="s">
        <v>30</v>
      </c>
      <c r="E10" s="36" t="s">
        <v>31</v>
      </c>
      <c r="F10" s="24" t="s">
        <v>519</v>
      </c>
      <c r="G10" s="24" t="s">
        <v>5</v>
      </c>
      <c r="H10" s="25">
        <v>50000</v>
      </c>
      <c r="I10" s="25">
        <v>50000</v>
      </c>
      <c r="J10" s="25"/>
      <c r="K10" s="25"/>
      <c r="L10" s="26">
        <f t="shared" si="2"/>
        <v>0</v>
      </c>
      <c r="M10" s="25">
        <v>100000</v>
      </c>
      <c r="N10" s="27" t="str">
        <f t="shared" si="0"/>
        <v>ปิดทุน</v>
      </c>
      <c r="O10" s="24"/>
    </row>
    <row r="11" spans="1:17" ht="48">
      <c r="A11" s="16">
        <f t="shared" si="1"/>
        <v>8</v>
      </c>
      <c r="B11" s="23" t="s">
        <v>32</v>
      </c>
      <c r="C11" s="37" t="s">
        <v>33</v>
      </c>
      <c r="D11" s="48" t="s">
        <v>34</v>
      </c>
      <c r="E11" s="36" t="s">
        <v>35</v>
      </c>
      <c r="F11" s="24" t="s">
        <v>519</v>
      </c>
      <c r="G11" s="24" t="s">
        <v>5</v>
      </c>
      <c r="H11" s="25">
        <v>50000</v>
      </c>
      <c r="I11" s="25">
        <v>50000</v>
      </c>
      <c r="J11" s="25"/>
      <c r="K11" s="25"/>
      <c r="L11" s="26">
        <f t="shared" si="2"/>
        <v>0</v>
      </c>
      <c r="M11" s="25">
        <v>100000</v>
      </c>
      <c r="N11" s="27" t="str">
        <f t="shared" si="0"/>
        <v>ปิดทุน</v>
      </c>
      <c r="O11" s="24"/>
    </row>
    <row r="12" spans="1:17" ht="28.5" customHeight="1">
      <c r="A12" s="16">
        <f t="shared" si="1"/>
        <v>9</v>
      </c>
      <c r="B12" s="23" t="s">
        <v>36</v>
      </c>
      <c r="C12" s="37" t="s">
        <v>33</v>
      </c>
      <c r="D12" s="48" t="s">
        <v>37</v>
      </c>
      <c r="E12" s="36" t="s">
        <v>38</v>
      </c>
      <c r="F12" s="24" t="s">
        <v>519</v>
      </c>
      <c r="G12" s="24" t="s">
        <v>5</v>
      </c>
      <c r="H12" s="25">
        <v>50000</v>
      </c>
      <c r="I12" s="25">
        <v>50000</v>
      </c>
      <c r="J12" s="25"/>
      <c r="K12" s="25"/>
      <c r="L12" s="26">
        <f t="shared" si="2"/>
        <v>0</v>
      </c>
      <c r="M12" s="25">
        <v>100000</v>
      </c>
      <c r="N12" s="27" t="str">
        <f t="shared" si="0"/>
        <v>ปิดทุน</v>
      </c>
      <c r="O12" s="24"/>
    </row>
    <row r="13" spans="1:17" s="199" customFormat="1" ht="48">
      <c r="A13" s="211">
        <f t="shared" si="1"/>
        <v>10</v>
      </c>
      <c r="B13" s="215" t="s">
        <v>39</v>
      </c>
      <c r="C13" s="206" t="s">
        <v>33</v>
      </c>
      <c r="D13" s="216" t="s">
        <v>40</v>
      </c>
      <c r="E13" s="194" t="s">
        <v>41</v>
      </c>
      <c r="F13" s="195" t="s">
        <v>519</v>
      </c>
      <c r="G13" s="195" t="s">
        <v>5</v>
      </c>
      <c r="H13" s="196">
        <v>35000</v>
      </c>
      <c r="I13" s="196">
        <v>0</v>
      </c>
      <c r="J13" s="196"/>
      <c r="K13" s="196"/>
      <c r="L13" s="197">
        <f t="shared" si="2"/>
        <v>-35000</v>
      </c>
      <c r="M13" s="196">
        <v>70000</v>
      </c>
      <c r="N13" s="198" t="str">
        <f t="shared" si="0"/>
        <v>ยังไม่ปิดทุน</v>
      </c>
      <c r="O13" s="195" t="s">
        <v>1158</v>
      </c>
    </row>
    <row r="14" spans="1:17" ht="48">
      <c r="A14" s="16">
        <f t="shared" si="1"/>
        <v>11</v>
      </c>
      <c r="B14" s="23" t="s">
        <v>42</v>
      </c>
      <c r="C14" s="37" t="s">
        <v>43</v>
      </c>
      <c r="D14" s="48" t="s">
        <v>44</v>
      </c>
      <c r="E14" s="36" t="s">
        <v>45</v>
      </c>
      <c r="F14" s="24" t="s">
        <v>519</v>
      </c>
      <c r="G14" s="24" t="s">
        <v>5</v>
      </c>
      <c r="H14" s="25">
        <v>50000</v>
      </c>
      <c r="I14" s="25">
        <v>50000</v>
      </c>
      <c r="J14" s="25"/>
      <c r="K14" s="25"/>
      <c r="L14" s="26">
        <f t="shared" si="2"/>
        <v>0</v>
      </c>
      <c r="M14" s="25">
        <v>100000</v>
      </c>
      <c r="N14" s="27" t="str">
        <f t="shared" si="0"/>
        <v>ปิดทุน</v>
      </c>
      <c r="O14" s="24"/>
    </row>
    <row r="15" spans="1:17">
      <c r="A15" s="16">
        <f t="shared" si="1"/>
        <v>12</v>
      </c>
      <c r="B15" s="23" t="s">
        <v>46</v>
      </c>
      <c r="C15" s="37" t="s">
        <v>33</v>
      </c>
      <c r="D15" s="48" t="s">
        <v>47</v>
      </c>
      <c r="E15" s="36" t="s">
        <v>48</v>
      </c>
      <c r="F15" s="24" t="s">
        <v>519</v>
      </c>
      <c r="G15" s="24" t="s">
        <v>5</v>
      </c>
      <c r="H15" s="25">
        <v>50000</v>
      </c>
      <c r="I15" s="25">
        <v>50000</v>
      </c>
      <c r="J15" s="25"/>
      <c r="K15" s="25"/>
      <c r="L15" s="26">
        <f t="shared" si="2"/>
        <v>0</v>
      </c>
      <c r="M15" s="25">
        <v>100000</v>
      </c>
      <c r="N15" s="27" t="str">
        <f t="shared" si="0"/>
        <v>ปิดทุน</v>
      </c>
      <c r="O15" s="24"/>
    </row>
    <row r="16" spans="1:17" ht="48">
      <c r="A16" s="16">
        <f t="shared" si="1"/>
        <v>13</v>
      </c>
      <c r="B16" s="23" t="s">
        <v>49</v>
      </c>
      <c r="C16" s="37" t="s">
        <v>9</v>
      </c>
      <c r="D16" s="48" t="s">
        <v>50</v>
      </c>
      <c r="E16" s="36" t="s">
        <v>175</v>
      </c>
      <c r="F16" s="24" t="s">
        <v>521</v>
      </c>
      <c r="G16" s="24" t="s">
        <v>5</v>
      </c>
      <c r="H16" s="25">
        <v>50000</v>
      </c>
      <c r="I16" s="25">
        <v>50000</v>
      </c>
      <c r="J16" s="25"/>
      <c r="K16" s="25"/>
      <c r="L16" s="26">
        <f t="shared" si="2"/>
        <v>0</v>
      </c>
      <c r="M16" s="25">
        <v>100000</v>
      </c>
      <c r="N16" s="27" t="str">
        <f t="shared" si="0"/>
        <v>ปิดทุน</v>
      </c>
      <c r="O16" s="24"/>
    </row>
    <row r="17" spans="1:21" ht="48">
      <c r="A17" s="16">
        <f t="shared" si="1"/>
        <v>14</v>
      </c>
      <c r="B17" s="23" t="s">
        <v>51</v>
      </c>
      <c r="C17" s="37" t="s">
        <v>33</v>
      </c>
      <c r="D17" s="48" t="s">
        <v>52</v>
      </c>
      <c r="E17" s="36" t="s">
        <v>53</v>
      </c>
      <c r="F17" s="24" t="s">
        <v>521</v>
      </c>
      <c r="G17" s="24" t="s">
        <v>5</v>
      </c>
      <c r="H17" s="25">
        <v>50000</v>
      </c>
      <c r="I17" s="25">
        <v>50000</v>
      </c>
      <c r="J17" s="25"/>
      <c r="K17" s="25"/>
      <c r="L17" s="26">
        <f t="shared" si="2"/>
        <v>0</v>
      </c>
      <c r="M17" s="25">
        <v>100000</v>
      </c>
      <c r="N17" s="27" t="str">
        <f t="shared" si="0"/>
        <v>ปิดทุน</v>
      </c>
      <c r="O17" s="24"/>
    </row>
    <row r="18" spans="1:21" ht="72">
      <c r="A18" s="16">
        <f t="shared" si="1"/>
        <v>15</v>
      </c>
      <c r="B18" s="23" t="s">
        <v>54</v>
      </c>
      <c r="C18" s="37" t="s">
        <v>13</v>
      </c>
      <c r="D18" s="48" t="s">
        <v>55</v>
      </c>
      <c r="E18" s="36" t="s">
        <v>56</v>
      </c>
      <c r="F18" s="24" t="s">
        <v>523</v>
      </c>
      <c r="G18" s="24" t="s">
        <v>5</v>
      </c>
      <c r="H18" s="25">
        <v>40200</v>
      </c>
      <c r="I18" s="25">
        <v>40200</v>
      </c>
      <c r="J18" s="25"/>
      <c r="K18" s="25"/>
      <c r="L18" s="26">
        <f t="shared" si="2"/>
        <v>0</v>
      </c>
      <c r="M18" s="25">
        <v>80400</v>
      </c>
      <c r="N18" s="27" t="str">
        <f t="shared" si="0"/>
        <v>ปิดทุน</v>
      </c>
      <c r="O18" s="24"/>
    </row>
    <row r="19" spans="1:21" ht="72">
      <c r="A19" s="16">
        <f t="shared" si="1"/>
        <v>16</v>
      </c>
      <c r="B19" s="23" t="s">
        <v>57</v>
      </c>
      <c r="C19" s="37" t="s">
        <v>58</v>
      </c>
      <c r="D19" s="48" t="s">
        <v>59</v>
      </c>
      <c r="E19" s="36" t="s">
        <v>60</v>
      </c>
      <c r="F19" s="24" t="s">
        <v>520</v>
      </c>
      <c r="G19" s="24" t="s">
        <v>5</v>
      </c>
      <c r="H19" s="25">
        <v>50000</v>
      </c>
      <c r="I19" s="25">
        <v>50000</v>
      </c>
      <c r="J19" s="25"/>
      <c r="K19" s="25"/>
      <c r="L19" s="26">
        <f t="shared" si="2"/>
        <v>0</v>
      </c>
      <c r="M19" s="25">
        <v>100000</v>
      </c>
      <c r="N19" s="27" t="str">
        <f t="shared" si="0"/>
        <v>ปิดทุน</v>
      </c>
      <c r="O19" s="24"/>
    </row>
    <row r="20" spans="1:21" ht="72">
      <c r="A20" s="16">
        <f t="shared" si="1"/>
        <v>17</v>
      </c>
      <c r="B20" s="23" t="s">
        <v>61</v>
      </c>
      <c r="C20" s="37" t="s">
        <v>9</v>
      </c>
      <c r="D20" s="48" t="s">
        <v>62</v>
      </c>
      <c r="E20" s="36" t="s">
        <v>63</v>
      </c>
      <c r="F20" s="24" t="s">
        <v>523</v>
      </c>
      <c r="G20" s="24" t="s">
        <v>5</v>
      </c>
      <c r="H20" s="25">
        <v>50000</v>
      </c>
      <c r="I20" s="25">
        <v>50000</v>
      </c>
      <c r="J20" s="25"/>
      <c r="K20" s="25"/>
      <c r="L20" s="26">
        <f t="shared" si="2"/>
        <v>0</v>
      </c>
      <c r="M20" s="25">
        <v>100000</v>
      </c>
      <c r="N20" s="27" t="str">
        <f t="shared" si="0"/>
        <v>ปิดทุน</v>
      </c>
      <c r="O20" s="24"/>
    </row>
    <row r="21" spans="1:21" ht="48">
      <c r="A21" s="16">
        <f t="shared" si="1"/>
        <v>18</v>
      </c>
      <c r="B21" s="23" t="s">
        <v>64</v>
      </c>
      <c r="C21" s="37" t="s">
        <v>33</v>
      </c>
      <c r="D21" s="48" t="s">
        <v>69</v>
      </c>
      <c r="E21" s="36" t="s">
        <v>70</v>
      </c>
      <c r="F21" s="24" t="s">
        <v>523</v>
      </c>
      <c r="G21" s="24" t="s">
        <v>5</v>
      </c>
      <c r="H21" s="25">
        <v>36500</v>
      </c>
      <c r="I21" s="25">
        <v>14600</v>
      </c>
      <c r="J21" s="25">
        <v>21900</v>
      </c>
      <c r="K21" s="25"/>
      <c r="L21" s="26">
        <f t="shared" si="2"/>
        <v>0</v>
      </c>
      <c r="M21" s="25">
        <v>73000</v>
      </c>
      <c r="N21" s="27" t="str">
        <f t="shared" si="0"/>
        <v>ปิดทุน</v>
      </c>
      <c r="O21" s="24"/>
    </row>
    <row r="22" spans="1:21" ht="72">
      <c r="A22" s="16">
        <f t="shared" si="1"/>
        <v>19</v>
      </c>
      <c r="B22" s="23" t="s">
        <v>71</v>
      </c>
      <c r="C22" s="37" t="s">
        <v>33</v>
      </c>
      <c r="D22" s="48" t="s">
        <v>72</v>
      </c>
      <c r="E22" s="36" t="s">
        <v>73</v>
      </c>
      <c r="F22" s="24" t="s">
        <v>523</v>
      </c>
      <c r="G22" s="24" t="s">
        <v>5</v>
      </c>
      <c r="H22" s="25">
        <v>50000</v>
      </c>
      <c r="I22" s="25"/>
      <c r="J22" s="25"/>
      <c r="K22" s="25">
        <v>100000</v>
      </c>
      <c r="L22" s="26">
        <f>H22+I22+J22-M22+H22</f>
        <v>0</v>
      </c>
      <c r="M22" s="25">
        <v>100000</v>
      </c>
      <c r="N22" s="27" t="str">
        <f>IF(L22=0,"ปิดทุน",IF(L22&lt;0,"ยังไม่ปิดทุน","เกินทุน"))</f>
        <v>ปิดทุน</v>
      </c>
      <c r="O22" s="24" t="s">
        <v>1086</v>
      </c>
    </row>
    <row r="23" spans="1:21" ht="48">
      <c r="A23" s="16">
        <f t="shared" si="1"/>
        <v>20</v>
      </c>
      <c r="B23" s="23" t="s">
        <v>74</v>
      </c>
      <c r="C23" s="37" t="s">
        <v>33</v>
      </c>
      <c r="D23" s="48" t="s">
        <v>75</v>
      </c>
      <c r="E23" s="36" t="s">
        <v>76</v>
      </c>
      <c r="F23" s="24" t="s">
        <v>522</v>
      </c>
      <c r="G23" s="24" t="s">
        <v>5</v>
      </c>
      <c r="H23" s="25">
        <v>50000</v>
      </c>
      <c r="I23" s="25">
        <v>50000</v>
      </c>
      <c r="J23" s="25"/>
      <c r="K23" s="25"/>
      <c r="L23" s="26">
        <f t="shared" si="2"/>
        <v>0</v>
      </c>
      <c r="M23" s="25">
        <v>100000</v>
      </c>
      <c r="N23" s="27" t="str">
        <f t="shared" si="0"/>
        <v>ปิดทุน</v>
      </c>
      <c r="O23" s="24"/>
    </row>
    <row r="24" spans="1:21" ht="96">
      <c r="A24" s="16">
        <f t="shared" si="1"/>
        <v>21</v>
      </c>
      <c r="B24" s="23" t="s">
        <v>77</v>
      </c>
      <c r="C24" s="37" t="s">
        <v>33</v>
      </c>
      <c r="D24" s="48" t="s">
        <v>78</v>
      </c>
      <c r="E24" s="36" t="s">
        <v>79</v>
      </c>
      <c r="F24" s="24" t="s">
        <v>522</v>
      </c>
      <c r="G24" s="24" t="s">
        <v>5</v>
      </c>
      <c r="H24" s="25">
        <v>50000</v>
      </c>
      <c r="I24" s="25">
        <v>50000</v>
      </c>
      <c r="J24" s="25"/>
      <c r="K24" s="25"/>
      <c r="L24" s="26">
        <f t="shared" si="2"/>
        <v>0</v>
      </c>
      <c r="M24" s="25">
        <v>100000</v>
      </c>
      <c r="N24" s="27" t="str">
        <f t="shared" si="0"/>
        <v>ปิดทุน</v>
      </c>
      <c r="O24" s="24"/>
    </row>
    <row r="25" spans="1:21" ht="48">
      <c r="A25" s="16">
        <f t="shared" si="1"/>
        <v>22</v>
      </c>
      <c r="B25" s="23" t="s">
        <v>80</v>
      </c>
      <c r="C25" s="37" t="s">
        <v>9</v>
      </c>
      <c r="D25" s="48" t="s">
        <v>81</v>
      </c>
      <c r="E25" s="36" t="s">
        <v>82</v>
      </c>
      <c r="F25" s="24" t="s">
        <v>526</v>
      </c>
      <c r="G25" s="24" t="s">
        <v>5</v>
      </c>
      <c r="H25" s="25">
        <v>50000</v>
      </c>
      <c r="I25" s="25">
        <v>50000</v>
      </c>
      <c r="J25" s="25"/>
      <c r="K25" s="25"/>
      <c r="L25" s="26">
        <f t="shared" si="2"/>
        <v>0</v>
      </c>
      <c r="M25" s="25">
        <v>100000</v>
      </c>
      <c r="N25" s="27" t="str">
        <f t="shared" si="0"/>
        <v>ปิดทุน</v>
      </c>
      <c r="O25" s="24"/>
    </row>
    <row r="26" spans="1:21" ht="48">
      <c r="A26" s="16">
        <f t="shared" si="1"/>
        <v>23</v>
      </c>
      <c r="B26" s="23" t="s">
        <v>83</v>
      </c>
      <c r="C26" s="37" t="s">
        <v>9</v>
      </c>
      <c r="D26" s="48" t="s">
        <v>84</v>
      </c>
      <c r="E26" s="36" t="s">
        <v>85</v>
      </c>
      <c r="F26" s="24" t="s">
        <v>526</v>
      </c>
      <c r="G26" s="24" t="s">
        <v>5</v>
      </c>
      <c r="H26" s="25">
        <v>50000</v>
      </c>
      <c r="I26" s="25">
        <v>50000</v>
      </c>
      <c r="J26" s="25"/>
      <c r="K26" s="25"/>
      <c r="L26" s="26">
        <f t="shared" si="2"/>
        <v>0</v>
      </c>
      <c r="M26" s="25">
        <v>100000</v>
      </c>
      <c r="N26" s="27" t="str">
        <f t="shared" si="0"/>
        <v>ปิดทุน</v>
      </c>
      <c r="O26" s="24"/>
    </row>
    <row r="27" spans="1:21" ht="48">
      <c r="A27" s="16">
        <f t="shared" si="1"/>
        <v>24</v>
      </c>
      <c r="B27" s="23" t="s">
        <v>86</v>
      </c>
      <c r="C27" s="37" t="s">
        <v>87</v>
      </c>
      <c r="D27" s="48" t="s">
        <v>88</v>
      </c>
      <c r="E27" s="36" t="s">
        <v>89</v>
      </c>
      <c r="F27" s="24" t="s">
        <v>519</v>
      </c>
      <c r="G27" s="24" t="s">
        <v>5</v>
      </c>
      <c r="H27" s="25">
        <v>38000</v>
      </c>
      <c r="I27" s="25">
        <v>38000</v>
      </c>
      <c r="J27" s="25"/>
      <c r="K27" s="25"/>
      <c r="L27" s="26">
        <f t="shared" si="2"/>
        <v>0</v>
      </c>
      <c r="M27" s="25">
        <v>76000</v>
      </c>
      <c r="N27" s="27" t="str">
        <f>IF(L27=0,"ปิดทุน",IF(L27&lt;0,"ยังไม่ปิดทุน","เกินทุน"))</f>
        <v>ปิดทุน</v>
      </c>
      <c r="O27" s="24"/>
    </row>
    <row r="28" spans="1:21" s="199" customFormat="1" ht="48">
      <c r="A28" s="211">
        <f t="shared" si="1"/>
        <v>25</v>
      </c>
      <c r="B28" s="215" t="s">
        <v>90</v>
      </c>
      <c r="C28" s="206" t="s">
        <v>33</v>
      </c>
      <c r="D28" s="216" t="s">
        <v>91</v>
      </c>
      <c r="E28" s="194" t="s">
        <v>92</v>
      </c>
      <c r="F28" s="195" t="s">
        <v>519</v>
      </c>
      <c r="G28" s="195" t="s">
        <v>5</v>
      </c>
      <c r="H28" s="196">
        <v>39000</v>
      </c>
      <c r="I28" s="196"/>
      <c r="J28" s="196"/>
      <c r="K28" s="196"/>
      <c r="L28" s="197">
        <f>H28+I28+J28-M28</f>
        <v>-39000</v>
      </c>
      <c r="M28" s="196">
        <v>78000</v>
      </c>
      <c r="N28" s="198" t="str">
        <f t="shared" si="0"/>
        <v>ยังไม่ปิดทุน</v>
      </c>
      <c r="O28" s="195" t="s">
        <v>1158</v>
      </c>
    </row>
    <row r="29" spans="1:21" ht="72">
      <c r="A29" s="10">
        <f t="shared" si="1"/>
        <v>26</v>
      </c>
      <c r="B29" s="11" t="s">
        <v>93</v>
      </c>
      <c r="C29" s="49" t="s">
        <v>20</v>
      </c>
      <c r="D29" s="50" t="s">
        <v>94</v>
      </c>
      <c r="E29" s="39" t="s">
        <v>95</v>
      </c>
      <c r="F29" s="12" t="s">
        <v>524</v>
      </c>
      <c r="G29" s="12" t="s">
        <v>96</v>
      </c>
      <c r="H29" s="13">
        <v>20000</v>
      </c>
      <c r="I29" s="13">
        <v>20000</v>
      </c>
      <c r="J29" s="13"/>
      <c r="K29" s="13"/>
      <c r="L29" s="14">
        <f t="shared" si="2"/>
        <v>0</v>
      </c>
      <c r="M29" s="13">
        <v>40000</v>
      </c>
      <c r="N29" s="15" t="str">
        <f>IF(L29=0,"ปิดทุน",IF(L29&lt;0,"ยังไม่ปิดทุน","เกินทุน"))</f>
        <v>ปิดทุน</v>
      </c>
      <c r="O29" s="12" t="s">
        <v>1003</v>
      </c>
      <c r="P29" s="5" t="s">
        <v>991</v>
      </c>
      <c r="U29" s="5" t="s">
        <v>994</v>
      </c>
    </row>
    <row r="30" spans="1:21">
      <c r="M30" s="8">
        <f>SUM(M4:M29)</f>
        <v>2387400</v>
      </c>
    </row>
    <row r="31" spans="1:21">
      <c r="F31" s="5">
        <f>COUNTA(F4:F29)</f>
        <v>26</v>
      </c>
    </row>
  </sheetData>
  <mergeCells count="9">
    <mergeCell ref="A1:O1"/>
    <mergeCell ref="H2:M2"/>
    <mergeCell ref="N2:N3"/>
    <mergeCell ref="O2:O3"/>
    <mergeCell ref="A2:A3"/>
    <mergeCell ref="B2:B3"/>
    <mergeCell ref="C2:E3"/>
    <mergeCell ref="F2:F3"/>
    <mergeCell ref="G2:G3"/>
  </mergeCells>
  <pageMargins left="0" right="0" top="0.59055118110236227" bottom="0" header="0.31496062992125984" footer="0.31496062992125984"/>
  <pageSetup paperSize="9" scale="11"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6699"/>
  </sheetPr>
  <dimension ref="A1:R46"/>
  <sheetViews>
    <sheetView zoomScale="60" zoomScaleNormal="60" workbookViewId="0">
      <selection activeCell="N34" sqref="N34"/>
    </sheetView>
  </sheetViews>
  <sheetFormatPr defaultColWidth="9" defaultRowHeight="24"/>
  <cols>
    <col min="1" max="1" width="7.109375" style="7" customWidth="1"/>
    <col min="2" max="2" width="48.44140625" style="6" bestFit="1" customWidth="1"/>
    <col min="3" max="3" width="9.33203125" style="5" customWidth="1"/>
    <col min="4" max="4" width="9.109375" style="5" bestFit="1" customWidth="1"/>
    <col min="5" max="5" width="13.88671875" style="5" bestFit="1" customWidth="1"/>
    <col min="6" max="6" width="7.44140625" style="5" bestFit="1" customWidth="1"/>
    <col min="7" max="7" width="32.5546875" style="5" customWidth="1"/>
    <col min="8" max="10" width="15.109375" style="8" bestFit="1" customWidth="1"/>
    <col min="11" max="11" width="15.109375" style="8" customWidth="1"/>
    <col min="12" max="12" width="17.109375" style="9" bestFit="1" customWidth="1"/>
    <col min="13" max="13" width="18.33203125" style="8" customWidth="1"/>
    <col min="14" max="14" width="24.88671875" style="30" customWidth="1"/>
    <col min="15" max="15" width="100.88671875" style="5" customWidth="1"/>
    <col min="16" max="17" width="9" style="5"/>
    <col min="18" max="18" width="10.6640625" style="5" bestFit="1" customWidth="1"/>
    <col min="19" max="16384" width="9" style="5"/>
  </cols>
  <sheetData>
    <row r="1" spans="1:18" s="2" customFormat="1" ht="27">
      <c r="A1" s="393" t="s">
        <v>509</v>
      </c>
      <c r="B1" s="393"/>
      <c r="C1" s="393"/>
      <c r="D1" s="393"/>
      <c r="E1" s="393"/>
      <c r="F1" s="393"/>
      <c r="G1" s="393"/>
      <c r="H1" s="393"/>
      <c r="I1" s="393"/>
      <c r="J1" s="393"/>
      <c r="K1" s="393"/>
      <c r="L1" s="393"/>
      <c r="M1" s="393"/>
      <c r="N1" s="393"/>
      <c r="O1" s="393"/>
    </row>
    <row r="2" spans="1:18">
      <c r="A2" s="396" t="s">
        <v>0</v>
      </c>
      <c r="B2" s="399" t="s">
        <v>1</v>
      </c>
      <c r="C2" s="401" t="s">
        <v>2</v>
      </c>
      <c r="D2" s="402"/>
      <c r="E2" s="403"/>
      <c r="F2" s="396" t="s">
        <v>4</v>
      </c>
      <c r="G2" s="396" t="s">
        <v>3</v>
      </c>
      <c r="H2" s="407" t="s">
        <v>6</v>
      </c>
      <c r="I2" s="408"/>
      <c r="J2" s="408"/>
      <c r="K2" s="408"/>
      <c r="L2" s="408"/>
      <c r="M2" s="409"/>
      <c r="N2" s="396" t="s">
        <v>11</v>
      </c>
      <c r="O2" s="396" t="s">
        <v>500</v>
      </c>
    </row>
    <row r="3" spans="1:18" ht="64.5" customHeight="1">
      <c r="A3" s="397"/>
      <c r="B3" s="400"/>
      <c r="C3" s="404"/>
      <c r="D3" s="405"/>
      <c r="E3" s="406"/>
      <c r="F3" s="397"/>
      <c r="G3" s="397"/>
      <c r="H3" s="3" t="s">
        <v>65</v>
      </c>
      <c r="I3" s="3" t="s">
        <v>66</v>
      </c>
      <c r="J3" s="3" t="s">
        <v>67</v>
      </c>
      <c r="K3" s="3" t="s">
        <v>396</v>
      </c>
      <c r="L3" s="4" t="s">
        <v>68</v>
      </c>
      <c r="M3" s="3" t="s">
        <v>6</v>
      </c>
      <c r="N3" s="397"/>
      <c r="O3" s="397"/>
    </row>
    <row r="4" spans="1:18" ht="96">
      <c r="A4" s="16">
        <f>ROW(A1)</f>
        <v>1</v>
      </c>
      <c r="B4" s="17" t="s">
        <v>97</v>
      </c>
      <c r="C4" s="45" t="s">
        <v>33</v>
      </c>
      <c r="D4" s="51" t="s">
        <v>98</v>
      </c>
      <c r="E4" s="33" t="s">
        <v>99</v>
      </c>
      <c r="F4" s="18" t="s">
        <v>522</v>
      </c>
      <c r="G4" s="18" t="s">
        <v>5</v>
      </c>
      <c r="H4" s="19">
        <v>40000</v>
      </c>
      <c r="I4" s="19">
        <v>40000</v>
      </c>
      <c r="J4" s="19"/>
      <c r="K4" s="19"/>
      <c r="L4" s="20">
        <f t="shared" ref="L4:L9" si="0">H4+I4+J4-M4</f>
        <v>0</v>
      </c>
      <c r="M4" s="19">
        <v>80000</v>
      </c>
      <c r="N4" s="21" t="str">
        <f>IF(L4=0,"ปิดทุน",IF(L4&lt;0,"ยังไม่ปิดทุน","เกินทุน"))</f>
        <v>ปิดทุน</v>
      </c>
      <c r="O4" s="18"/>
    </row>
    <row r="5" spans="1:18" ht="72">
      <c r="A5" s="16">
        <f t="shared" ref="A5:A46" si="1">ROW(A2)</f>
        <v>2</v>
      </c>
      <c r="B5" s="23" t="s">
        <v>100</v>
      </c>
      <c r="C5" s="37" t="s">
        <v>9</v>
      </c>
      <c r="D5" s="35" t="s">
        <v>101</v>
      </c>
      <c r="E5" s="36" t="s">
        <v>102</v>
      </c>
      <c r="F5" s="18" t="s">
        <v>522</v>
      </c>
      <c r="G5" s="24" t="s">
        <v>5</v>
      </c>
      <c r="H5" s="25">
        <v>40000</v>
      </c>
      <c r="I5" s="25">
        <v>40000</v>
      </c>
      <c r="J5" s="25"/>
      <c r="K5" s="25"/>
      <c r="L5" s="26">
        <f t="shared" si="0"/>
        <v>0</v>
      </c>
      <c r="M5" s="25">
        <v>80000</v>
      </c>
      <c r="N5" s="27" t="str">
        <f t="shared" ref="N5:N29" si="2">IF(L5=0,"ปิดทุน",IF(L5&lt;0,"ยังไม่ปิดทุน","เกินทุน"))</f>
        <v>ปิดทุน</v>
      </c>
      <c r="O5" s="24"/>
    </row>
    <row r="6" spans="1:18" ht="96">
      <c r="A6" s="16">
        <f t="shared" si="1"/>
        <v>3</v>
      </c>
      <c r="B6" s="23" t="s">
        <v>103</v>
      </c>
      <c r="C6" s="37" t="s">
        <v>20</v>
      </c>
      <c r="D6" s="35" t="s">
        <v>104</v>
      </c>
      <c r="E6" s="36" t="s">
        <v>1098</v>
      </c>
      <c r="F6" s="18" t="s">
        <v>522</v>
      </c>
      <c r="G6" s="24" t="str">
        <f>G4</f>
        <v>ทุนนักวิจัยทั่วไป</v>
      </c>
      <c r="H6" s="25">
        <v>40000</v>
      </c>
      <c r="I6" s="25">
        <v>40000</v>
      </c>
      <c r="J6" s="25"/>
      <c r="K6" s="25"/>
      <c r="L6" s="26">
        <f t="shared" si="0"/>
        <v>0</v>
      </c>
      <c r="M6" s="25">
        <v>80000</v>
      </c>
      <c r="N6" s="27" t="str">
        <f t="shared" si="2"/>
        <v>ปิดทุน</v>
      </c>
      <c r="O6" s="28" t="s">
        <v>1097</v>
      </c>
      <c r="P6" s="5" t="s">
        <v>1099</v>
      </c>
    </row>
    <row r="7" spans="1:18" ht="96">
      <c r="A7" s="16">
        <f t="shared" si="1"/>
        <v>4</v>
      </c>
      <c r="B7" s="23" t="s">
        <v>105</v>
      </c>
      <c r="C7" s="37" t="s">
        <v>43</v>
      </c>
      <c r="D7" s="35" t="s">
        <v>106</v>
      </c>
      <c r="E7" s="36" t="s">
        <v>305</v>
      </c>
      <c r="F7" s="18" t="s">
        <v>522</v>
      </c>
      <c r="G7" s="24" t="str">
        <f>G6</f>
        <v>ทุนนักวิจัยทั่วไป</v>
      </c>
      <c r="H7" s="25">
        <v>40000</v>
      </c>
      <c r="I7" s="25">
        <v>40000</v>
      </c>
      <c r="J7" s="25"/>
      <c r="K7" s="25"/>
      <c r="L7" s="26">
        <f t="shared" si="0"/>
        <v>0</v>
      </c>
      <c r="M7" s="25">
        <v>80000</v>
      </c>
      <c r="N7" s="27" t="str">
        <f t="shared" si="2"/>
        <v>ปิดทุน</v>
      </c>
      <c r="O7" s="24"/>
    </row>
    <row r="8" spans="1:18" ht="72">
      <c r="A8" s="16">
        <f t="shared" si="1"/>
        <v>5</v>
      </c>
      <c r="B8" s="23" t="s">
        <v>107</v>
      </c>
      <c r="C8" s="37" t="s">
        <v>33</v>
      </c>
      <c r="D8" s="35" t="s">
        <v>108</v>
      </c>
      <c r="E8" s="36" t="s">
        <v>109</v>
      </c>
      <c r="F8" s="18" t="s">
        <v>522</v>
      </c>
      <c r="G8" s="24" t="str">
        <f>G7</f>
        <v>ทุนนักวิจัยทั่วไป</v>
      </c>
      <c r="H8" s="25">
        <v>35000</v>
      </c>
      <c r="I8" s="25">
        <v>35000</v>
      </c>
      <c r="J8" s="25"/>
      <c r="K8" s="25"/>
      <c r="L8" s="26">
        <f t="shared" si="0"/>
        <v>0</v>
      </c>
      <c r="M8" s="25">
        <v>70000</v>
      </c>
      <c r="N8" s="27" t="str">
        <f t="shared" si="2"/>
        <v>ปิดทุน</v>
      </c>
      <c r="O8" s="24"/>
    </row>
    <row r="9" spans="1:18" ht="72">
      <c r="A9" s="16">
        <f t="shared" si="1"/>
        <v>6</v>
      </c>
      <c r="B9" s="23" t="s">
        <v>110</v>
      </c>
      <c r="C9" s="37" t="s">
        <v>9</v>
      </c>
      <c r="D9" s="35" t="s">
        <v>111</v>
      </c>
      <c r="E9" s="36" t="s">
        <v>112</v>
      </c>
      <c r="F9" s="18" t="s">
        <v>522</v>
      </c>
      <c r="G9" s="24" t="str">
        <f>G8</f>
        <v>ทุนนักวิจัยทั่วไป</v>
      </c>
      <c r="H9" s="25">
        <v>40000</v>
      </c>
      <c r="I9" s="25">
        <v>40000</v>
      </c>
      <c r="J9" s="25"/>
      <c r="K9" s="25"/>
      <c r="L9" s="26">
        <f t="shared" si="0"/>
        <v>0</v>
      </c>
      <c r="M9" s="25">
        <v>80000</v>
      </c>
      <c r="N9" s="27" t="str">
        <f t="shared" si="2"/>
        <v>ปิดทุน</v>
      </c>
      <c r="O9" s="24"/>
    </row>
    <row r="10" spans="1:18" ht="48">
      <c r="A10" s="16">
        <f t="shared" si="1"/>
        <v>7</v>
      </c>
      <c r="B10" s="23" t="s">
        <v>113</v>
      </c>
      <c r="C10" s="37" t="s">
        <v>114</v>
      </c>
      <c r="D10" s="35" t="s">
        <v>115</v>
      </c>
      <c r="E10" s="36" t="s">
        <v>116</v>
      </c>
      <c r="F10" s="24" t="s">
        <v>522</v>
      </c>
      <c r="G10" s="24" t="s">
        <v>5</v>
      </c>
      <c r="H10" s="25">
        <v>35000</v>
      </c>
      <c r="I10" s="25"/>
      <c r="J10" s="25"/>
      <c r="K10" s="25">
        <v>70000</v>
      </c>
      <c r="L10" s="26">
        <f>H10+I10+J10-M10+H10</f>
        <v>0</v>
      </c>
      <c r="M10" s="25">
        <v>70000</v>
      </c>
      <c r="N10" s="27" t="str">
        <f t="shared" si="2"/>
        <v>ปิดทุน</v>
      </c>
      <c r="O10" s="24" t="s">
        <v>1087</v>
      </c>
    </row>
    <row r="11" spans="1:18" ht="96">
      <c r="A11" s="16">
        <f t="shared" si="1"/>
        <v>8</v>
      </c>
      <c r="B11" s="23" t="s">
        <v>117</v>
      </c>
      <c r="C11" s="37" t="s">
        <v>87</v>
      </c>
      <c r="D11" s="35" t="s">
        <v>118</v>
      </c>
      <c r="E11" s="36" t="s">
        <v>119</v>
      </c>
      <c r="F11" s="24" t="s">
        <v>523</v>
      </c>
      <c r="G11" s="24" t="s">
        <v>5</v>
      </c>
      <c r="H11" s="25">
        <v>31000</v>
      </c>
      <c r="I11" s="147">
        <v>31000</v>
      </c>
      <c r="J11" s="25"/>
      <c r="K11" s="25"/>
      <c r="L11" s="26">
        <f t="shared" ref="L11:L19" si="3">H11+I11+J11-M11</f>
        <v>0</v>
      </c>
      <c r="M11" s="25">
        <v>62000</v>
      </c>
      <c r="N11" s="27" t="str">
        <f t="shared" si="2"/>
        <v>ปิดทุน</v>
      </c>
      <c r="O11" s="24"/>
    </row>
    <row r="12" spans="1:18" ht="72">
      <c r="A12" s="16">
        <f t="shared" si="1"/>
        <v>9</v>
      </c>
      <c r="B12" s="23" t="s">
        <v>120</v>
      </c>
      <c r="C12" s="37" t="s">
        <v>9</v>
      </c>
      <c r="D12" s="35" t="s">
        <v>62</v>
      </c>
      <c r="E12" s="36" t="s">
        <v>63</v>
      </c>
      <c r="F12" s="24" t="s">
        <v>523</v>
      </c>
      <c r="G12" s="24" t="s">
        <v>5</v>
      </c>
      <c r="H12" s="25">
        <v>40000</v>
      </c>
      <c r="I12" s="25">
        <v>40000</v>
      </c>
      <c r="J12" s="25"/>
      <c r="K12" s="25"/>
      <c r="L12" s="26">
        <f t="shared" si="3"/>
        <v>0</v>
      </c>
      <c r="M12" s="25">
        <v>80000</v>
      </c>
      <c r="N12" s="27" t="str">
        <f t="shared" si="2"/>
        <v>ปิดทุน</v>
      </c>
      <c r="O12" s="24"/>
    </row>
    <row r="13" spans="1:18" ht="48">
      <c r="A13" s="16">
        <f t="shared" si="1"/>
        <v>10</v>
      </c>
      <c r="B13" s="23" t="s">
        <v>121</v>
      </c>
      <c r="C13" s="37" t="s">
        <v>9</v>
      </c>
      <c r="D13" s="35" t="s">
        <v>122</v>
      </c>
      <c r="E13" s="36" t="s">
        <v>123</v>
      </c>
      <c r="F13" s="24" t="s">
        <v>523</v>
      </c>
      <c r="G13" s="24" t="s">
        <v>5</v>
      </c>
      <c r="H13" s="25">
        <v>40000</v>
      </c>
      <c r="I13" s="25">
        <v>40000</v>
      </c>
      <c r="J13" s="25"/>
      <c r="K13" s="25"/>
      <c r="L13" s="26">
        <f t="shared" si="3"/>
        <v>0</v>
      </c>
      <c r="M13" s="25">
        <v>80000</v>
      </c>
      <c r="N13" s="27" t="str">
        <f t="shared" si="2"/>
        <v>ปิดทุน</v>
      </c>
      <c r="O13" s="24"/>
    </row>
    <row r="14" spans="1:18" ht="48">
      <c r="A14" s="16">
        <f t="shared" si="1"/>
        <v>11</v>
      </c>
      <c r="B14" s="23" t="s">
        <v>124</v>
      </c>
      <c r="C14" s="37" t="s">
        <v>87</v>
      </c>
      <c r="D14" s="35" t="s">
        <v>125</v>
      </c>
      <c r="E14" s="36" t="s">
        <v>126</v>
      </c>
      <c r="F14" s="24" t="s">
        <v>523</v>
      </c>
      <c r="G14" s="24" t="s">
        <v>5</v>
      </c>
      <c r="H14" s="25">
        <v>40000</v>
      </c>
      <c r="I14" s="25">
        <v>40000</v>
      </c>
      <c r="J14" s="25"/>
      <c r="K14" s="25"/>
      <c r="L14" s="26">
        <f t="shared" si="3"/>
        <v>0</v>
      </c>
      <c r="M14" s="25">
        <v>80000</v>
      </c>
      <c r="N14" s="27" t="str">
        <f t="shared" si="2"/>
        <v>ปิดทุน</v>
      </c>
      <c r="O14" s="24"/>
      <c r="P14" s="5" t="s">
        <v>850</v>
      </c>
      <c r="R14" s="115">
        <v>242598</v>
      </c>
    </row>
    <row r="15" spans="1:18" ht="96">
      <c r="A15" s="16">
        <f t="shared" si="1"/>
        <v>12</v>
      </c>
      <c r="B15" s="23" t="s">
        <v>127</v>
      </c>
      <c r="C15" s="37" t="s">
        <v>58</v>
      </c>
      <c r="D15" s="35" t="s">
        <v>59</v>
      </c>
      <c r="E15" s="36" t="s">
        <v>60</v>
      </c>
      <c r="F15" s="24" t="s">
        <v>523</v>
      </c>
      <c r="G15" s="24" t="s">
        <v>5</v>
      </c>
      <c r="H15" s="25">
        <v>40000</v>
      </c>
      <c r="I15" s="25">
        <v>40000</v>
      </c>
      <c r="J15" s="25"/>
      <c r="K15" s="25"/>
      <c r="L15" s="26">
        <f t="shared" si="3"/>
        <v>0</v>
      </c>
      <c r="M15" s="25">
        <v>80000</v>
      </c>
      <c r="N15" s="27" t="str">
        <f t="shared" si="2"/>
        <v>ปิดทุน</v>
      </c>
      <c r="O15" s="24"/>
    </row>
    <row r="16" spans="1:18" ht="48">
      <c r="A16" s="16">
        <f t="shared" si="1"/>
        <v>13</v>
      </c>
      <c r="B16" s="23" t="s">
        <v>128</v>
      </c>
      <c r="C16" s="37" t="s">
        <v>13</v>
      </c>
      <c r="D16" s="35" t="s">
        <v>129</v>
      </c>
      <c r="E16" s="36" t="s">
        <v>130</v>
      </c>
      <c r="F16" s="24" t="s">
        <v>519</v>
      </c>
      <c r="G16" s="24" t="s">
        <v>5</v>
      </c>
      <c r="H16" s="25">
        <v>31000</v>
      </c>
      <c r="I16" s="25">
        <v>31000</v>
      </c>
      <c r="J16" s="25"/>
      <c r="K16" s="25"/>
      <c r="L16" s="26">
        <f t="shared" si="3"/>
        <v>0</v>
      </c>
      <c r="M16" s="25">
        <v>62000</v>
      </c>
      <c r="N16" s="27" t="str">
        <f t="shared" si="2"/>
        <v>ปิดทุน</v>
      </c>
      <c r="O16" s="24"/>
    </row>
    <row r="17" spans="1:15" ht="48">
      <c r="A17" s="16">
        <f t="shared" si="1"/>
        <v>14</v>
      </c>
      <c r="B17" s="23" t="s">
        <v>131</v>
      </c>
      <c r="C17" s="37" t="s">
        <v>43</v>
      </c>
      <c r="D17" s="35" t="s">
        <v>44</v>
      </c>
      <c r="E17" s="36" t="s">
        <v>45</v>
      </c>
      <c r="F17" s="24" t="s">
        <v>519</v>
      </c>
      <c r="G17" s="24" t="s">
        <v>5</v>
      </c>
      <c r="H17" s="25">
        <v>31000</v>
      </c>
      <c r="I17" s="25">
        <v>31000</v>
      </c>
      <c r="J17" s="25"/>
      <c r="K17" s="25"/>
      <c r="L17" s="26">
        <f t="shared" si="3"/>
        <v>0</v>
      </c>
      <c r="M17" s="25">
        <v>62000</v>
      </c>
      <c r="N17" s="27" t="str">
        <f t="shared" si="2"/>
        <v>ปิดทุน</v>
      </c>
      <c r="O17" s="24"/>
    </row>
    <row r="18" spans="1:15">
      <c r="A18" s="16">
        <f t="shared" si="1"/>
        <v>15</v>
      </c>
      <c r="B18" s="23" t="s">
        <v>132</v>
      </c>
      <c r="C18" s="37" t="s">
        <v>33</v>
      </c>
      <c r="D18" s="35" t="s">
        <v>47</v>
      </c>
      <c r="E18" s="36" t="s">
        <v>48</v>
      </c>
      <c r="F18" s="24" t="s">
        <v>519</v>
      </c>
      <c r="G18" s="24" t="s">
        <v>5</v>
      </c>
      <c r="H18" s="25">
        <v>31000</v>
      </c>
      <c r="I18" s="25">
        <v>31000</v>
      </c>
      <c r="J18" s="25"/>
      <c r="K18" s="25"/>
      <c r="L18" s="26">
        <f t="shared" si="3"/>
        <v>0</v>
      </c>
      <c r="M18" s="25">
        <v>62000</v>
      </c>
      <c r="N18" s="27" t="str">
        <f t="shared" si="2"/>
        <v>ปิดทุน</v>
      </c>
      <c r="O18" s="24"/>
    </row>
    <row r="19" spans="1:15" ht="48">
      <c r="A19" s="16">
        <f t="shared" si="1"/>
        <v>16</v>
      </c>
      <c r="B19" s="23" t="s">
        <v>133</v>
      </c>
      <c r="C19" s="37" t="s">
        <v>33</v>
      </c>
      <c r="D19" s="35" t="s">
        <v>134</v>
      </c>
      <c r="E19" s="36" t="s">
        <v>135</v>
      </c>
      <c r="F19" s="24" t="s">
        <v>519</v>
      </c>
      <c r="G19" s="24" t="s">
        <v>5</v>
      </c>
      <c r="H19" s="25">
        <v>31000</v>
      </c>
      <c r="I19" s="25">
        <v>31000</v>
      </c>
      <c r="J19" s="25"/>
      <c r="K19" s="25"/>
      <c r="L19" s="26">
        <f t="shared" si="3"/>
        <v>0</v>
      </c>
      <c r="M19" s="25">
        <v>62000</v>
      </c>
      <c r="N19" s="27" t="str">
        <f t="shared" si="2"/>
        <v>ปิดทุน</v>
      </c>
      <c r="O19" s="24"/>
    </row>
    <row r="20" spans="1:15" ht="48">
      <c r="A20" s="16">
        <f t="shared" si="1"/>
        <v>17</v>
      </c>
      <c r="B20" s="23" t="s">
        <v>136</v>
      </c>
      <c r="C20" s="37" t="s">
        <v>33</v>
      </c>
      <c r="D20" s="35" t="s">
        <v>30</v>
      </c>
      <c r="E20" s="36" t="s">
        <v>31</v>
      </c>
      <c r="F20" s="24" t="s">
        <v>519</v>
      </c>
      <c r="G20" s="24" t="s">
        <v>5</v>
      </c>
      <c r="H20" s="25">
        <v>31000</v>
      </c>
      <c r="I20" s="25">
        <v>31000</v>
      </c>
      <c r="J20" s="25"/>
      <c r="K20" s="25"/>
      <c r="L20" s="26">
        <f t="shared" ref="L20:L36" si="4">H20+I20+J20-M20</f>
        <v>0</v>
      </c>
      <c r="M20" s="25">
        <v>62000</v>
      </c>
      <c r="N20" s="27" t="str">
        <f t="shared" si="2"/>
        <v>ปิดทุน</v>
      </c>
      <c r="O20" s="24"/>
    </row>
    <row r="21" spans="1:15" ht="72">
      <c r="A21" s="16">
        <f t="shared" si="1"/>
        <v>18</v>
      </c>
      <c r="B21" s="23" t="s">
        <v>137</v>
      </c>
      <c r="C21" s="37" t="s">
        <v>9</v>
      </c>
      <c r="D21" s="35" t="s">
        <v>37</v>
      </c>
      <c r="E21" s="36" t="s">
        <v>38</v>
      </c>
      <c r="F21" s="24" t="s">
        <v>519</v>
      </c>
      <c r="G21" s="24" t="s">
        <v>5</v>
      </c>
      <c r="H21" s="25">
        <v>31000</v>
      </c>
      <c r="I21" s="25">
        <v>31000</v>
      </c>
      <c r="J21" s="25"/>
      <c r="K21" s="25"/>
      <c r="L21" s="26">
        <f t="shared" si="4"/>
        <v>0</v>
      </c>
      <c r="M21" s="25">
        <v>62000</v>
      </c>
      <c r="N21" s="27" t="str">
        <f t="shared" si="2"/>
        <v>ปิดทุน</v>
      </c>
      <c r="O21" s="24"/>
    </row>
    <row r="22" spans="1:15" ht="72">
      <c r="A22" s="16">
        <f t="shared" si="1"/>
        <v>19</v>
      </c>
      <c r="B22" s="23" t="s">
        <v>138</v>
      </c>
      <c r="C22" s="37" t="s">
        <v>9</v>
      </c>
      <c r="D22" s="35" t="s">
        <v>24</v>
      </c>
      <c r="E22" s="36" t="s">
        <v>25</v>
      </c>
      <c r="F22" s="24" t="s">
        <v>519</v>
      </c>
      <c r="G22" s="24" t="s">
        <v>5</v>
      </c>
      <c r="H22" s="25">
        <v>31000</v>
      </c>
      <c r="I22" s="25">
        <v>31000</v>
      </c>
      <c r="J22" s="25"/>
      <c r="K22" s="25"/>
      <c r="L22" s="26">
        <f t="shared" si="4"/>
        <v>0</v>
      </c>
      <c r="M22" s="25">
        <v>62000</v>
      </c>
      <c r="N22" s="27" t="str">
        <f t="shared" si="2"/>
        <v>ปิดทุน</v>
      </c>
      <c r="O22" s="24"/>
    </row>
    <row r="23" spans="1:15" ht="72">
      <c r="A23" s="16">
        <f t="shared" si="1"/>
        <v>20</v>
      </c>
      <c r="B23" s="23" t="s">
        <v>139</v>
      </c>
      <c r="C23" s="37" t="s">
        <v>9</v>
      </c>
      <c r="D23" s="35" t="s">
        <v>140</v>
      </c>
      <c r="E23" s="36" t="s">
        <v>141</v>
      </c>
      <c r="F23" s="24" t="s">
        <v>519</v>
      </c>
      <c r="G23" s="24" t="s">
        <v>5</v>
      </c>
      <c r="H23" s="25">
        <v>31000</v>
      </c>
      <c r="I23" s="25">
        <v>31000</v>
      </c>
      <c r="J23" s="25"/>
      <c r="K23" s="25"/>
      <c r="L23" s="26">
        <f t="shared" si="4"/>
        <v>0</v>
      </c>
      <c r="M23" s="25">
        <v>62000</v>
      </c>
      <c r="N23" s="27" t="str">
        <f t="shared" si="2"/>
        <v>ปิดทุน</v>
      </c>
      <c r="O23" s="24"/>
    </row>
    <row r="24" spans="1:15" ht="72">
      <c r="A24" s="16">
        <f t="shared" si="1"/>
        <v>21</v>
      </c>
      <c r="B24" s="23" t="s">
        <v>142</v>
      </c>
      <c r="C24" s="37" t="s">
        <v>33</v>
      </c>
      <c r="D24" s="35" t="s">
        <v>143</v>
      </c>
      <c r="E24" s="36" t="s">
        <v>144</v>
      </c>
      <c r="F24" s="24" t="s">
        <v>519</v>
      </c>
      <c r="G24" s="24" t="s">
        <v>5</v>
      </c>
      <c r="H24" s="25">
        <v>31000</v>
      </c>
      <c r="I24" s="25">
        <v>31000</v>
      </c>
      <c r="J24" s="25"/>
      <c r="K24" s="25"/>
      <c r="L24" s="26">
        <f t="shared" si="4"/>
        <v>0</v>
      </c>
      <c r="M24" s="25">
        <v>62000</v>
      </c>
      <c r="N24" s="27" t="str">
        <f t="shared" si="2"/>
        <v>ปิดทุน</v>
      </c>
      <c r="O24" s="24"/>
    </row>
    <row r="25" spans="1:15" s="148" customFormat="1" ht="48">
      <c r="A25" s="163">
        <f t="shared" si="1"/>
        <v>22</v>
      </c>
      <c r="B25" s="160" t="s">
        <v>145</v>
      </c>
      <c r="C25" s="162" t="s">
        <v>33</v>
      </c>
      <c r="D25" s="155" t="s">
        <v>146</v>
      </c>
      <c r="E25" s="156" t="s">
        <v>147</v>
      </c>
      <c r="F25" s="157" t="s">
        <v>519</v>
      </c>
      <c r="G25" s="157" t="s">
        <v>5</v>
      </c>
      <c r="H25" s="149">
        <v>31000</v>
      </c>
      <c r="I25" s="149"/>
      <c r="J25" s="149"/>
      <c r="K25" s="149"/>
      <c r="L25" s="158">
        <f t="shared" si="4"/>
        <v>-31000</v>
      </c>
      <c r="M25" s="149">
        <v>62000</v>
      </c>
      <c r="N25" s="159" t="str">
        <f t="shared" si="2"/>
        <v>ยังไม่ปิดทุน</v>
      </c>
      <c r="O25" s="157"/>
    </row>
    <row r="26" spans="1:15" s="199" customFormat="1" ht="70.5" customHeight="1">
      <c r="A26" s="211">
        <f t="shared" si="1"/>
        <v>23</v>
      </c>
      <c r="B26" s="215" t="s">
        <v>148</v>
      </c>
      <c r="C26" s="206" t="s">
        <v>33</v>
      </c>
      <c r="D26" s="193" t="s">
        <v>149</v>
      </c>
      <c r="E26" s="194" t="s">
        <v>150</v>
      </c>
      <c r="F26" s="195" t="s">
        <v>519</v>
      </c>
      <c r="G26" s="195" t="s">
        <v>5</v>
      </c>
      <c r="H26" s="196">
        <v>31000</v>
      </c>
      <c r="I26" s="196"/>
      <c r="J26" s="196"/>
      <c r="K26" s="196"/>
      <c r="L26" s="197">
        <f t="shared" si="4"/>
        <v>-31000</v>
      </c>
      <c r="M26" s="196">
        <v>62000</v>
      </c>
      <c r="N26" s="198" t="str">
        <f t="shared" si="2"/>
        <v>ยังไม่ปิดทุน</v>
      </c>
      <c r="O26" s="195" t="s">
        <v>396</v>
      </c>
    </row>
    <row r="27" spans="1:15" ht="48">
      <c r="A27" s="16">
        <f t="shared" si="1"/>
        <v>24</v>
      </c>
      <c r="B27" s="23" t="s">
        <v>151</v>
      </c>
      <c r="C27" s="37" t="s">
        <v>33</v>
      </c>
      <c r="D27" s="35" t="s">
        <v>152</v>
      </c>
      <c r="E27" s="36" t="s">
        <v>15</v>
      </c>
      <c r="F27" s="24" t="s">
        <v>524</v>
      </c>
      <c r="G27" s="24" t="s">
        <v>5</v>
      </c>
      <c r="H27" s="25">
        <v>31000</v>
      </c>
      <c r="I27" s="25">
        <v>31000</v>
      </c>
      <c r="J27" s="25"/>
      <c r="K27" s="25"/>
      <c r="L27" s="26">
        <f t="shared" si="4"/>
        <v>0</v>
      </c>
      <c r="M27" s="25">
        <v>62000</v>
      </c>
      <c r="N27" s="27" t="str">
        <f t="shared" si="2"/>
        <v>ปิดทุน</v>
      </c>
      <c r="O27" s="24"/>
    </row>
    <row r="28" spans="1:15" ht="96">
      <c r="A28" s="16">
        <f t="shared" si="1"/>
        <v>25</v>
      </c>
      <c r="B28" s="23" t="s">
        <v>153</v>
      </c>
      <c r="C28" s="37" t="s">
        <v>13</v>
      </c>
      <c r="D28" s="35" t="s">
        <v>14</v>
      </c>
      <c r="E28" s="36" t="s">
        <v>15</v>
      </c>
      <c r="F28" s="24" t="s">
        <v>524</v>
      </c>
      <c r="G28" s="24" t="s">
        <v>5</v>
      </c>
      <c r="H28" s="25">
        <v>31000</v>
      </c>
      <c r="I28" s="25">
        <v>31000</v>
      </c>
      <c r="J28" s="25"/>
      <c r="K28" s="25"/>
      <c r="L28" s="26">
        <f t="shared" si="4"/>
        <v>0</v>
      </c>
      <c r="M28" s="25">
        <v>62000</v>
      </c>
      <c r="N28" s="27" t="str">
        <f t="shared" si="2"/>
        <v>ปิดทุน</v>
      </c>
      <c r="O28" s="24"/>
    </row>
    <row r="29" spans="1:15" ht="96">
      <c r="A29" s="16">
        <f t="shared" si="1"/>
        <v>26</v>
      </c>
      <c r="B29" s="23" t="s">
        <v>154</v>
      </c>
      <c r="C29" s="37" t="s">
        <v>9</v>
      </c>
      <c r="D29" s="35" t="s">
        <v>8</v>
      </c>
      <c r="E29" s="36" t="s">
        <v>10</v>
      </c>
      <c r="F29" s="24" t="s">
        <v>524</v>
      </c>
      <c r="G29" s="24" t="s">
        <v>5</v>
      </c>
      <c r="H29" s="25">
        <v>31000</v>
      </c>
      <c r="I29" s="25">
        <v>31000</v>
      </c>
      <c r="J29" s="25"/>
      <c r="K29" s="25"/>
      <c r="L29" s="26">
        <f t="shared" si="4"/>
        <v>0</v>
      </c>
      <c r="M29" s="25">
        <v>62000</v>
      </c>
      <c r="N29" s="27" t="str">
        <f t="shared" si="2"/>
        <v>ปิดทุน</v>
      </c>
      <c r="O29" s="24"/>
    </row>
    <row r="30" spans="1:15" ht="72">
      <c r="A30" s="16">
        <f t="shared" si="1"/>
        <v>27</v>
      </c>
      <c r="B30" s="23" t="s">
        <v>155</v>
      </c>
      <c r="C30" s="37" t="s">
        <v>9</v>
      </c>
      <c r="D30" s="35" t="s">
        <v>156</v>
      </c>
      <c r="E30" s="36" t="s">
        <v>157</v>
      </c>
      <c r="F30" s="24" t="s">
        <v>524</v>
      </c>
      <c r="G30" s="24" t="s">
        <v>5</v>
      </c>
      <c r="H30" s="25">
        <v>31000</v>
      </c>
      <c r="I30" s="25">
        <v>12400</v>
      </c>
      <c r="J30" s="25">
        <v>18600</v>
      </c>
      <c r="K30" s="25"/>
      <c r="L30" s="26">
        <f t="shared" si="4"/>
        <v>0</v>
      </c>
      <c r="M30" s="25">
        <v>62000</v>
      </c>
      <c r="N30" s="27" t="str">
        <f t="shared" ref="N30:N41" si="5">IF(L30=0,"ปิดทุน",IF(L30&lt;0,"ยังไม่ปิดทุน","เกินทุน"))</f>
        <v>ปิดทุน</v>
      </c>
      <c r="O30" s="24"/>
    </row>
    <row r="31" spans="1:15" ht="96">
      <c r="A31" s="16">
        <f t="shared" si="1"/>
        <v>28</v>
      </c>
      <c r="B31" s="23" t="s">
        <v>158</v>
      </c>
      <c r="C31" s="37" t="s">
        <v>9</v>
      </c>
      <c r="D31" s="35" t="s">
        <v>17</v>
      </c>
      <c r="E31" s="36" t="s">
        <v>18</v>
      </c>
      <c r="F31" s="24" t="s">
        <v>524</v>
      </c>
      <c r="G31" s="24" t="s">
        <v>5</v>
      </c>
      <c r="H31" s="25">
        <v>31000</v>
      </c>
      <c r="I31" s="25">
        <v>31000</v>
      </c>
      <c r="J31" s="25"/>
      <c r="K31" s="25"/>
      <c r="L31" s="26">
        <f t="shared" si="4"/>
        <v>0</v>
      </c>
      <c r="M31" s="25">
        <v>62000</v>
      </c>
      <c r="N31" s="27" t="str">
        <f t="shared" si="5"/>
        <v>ปิดทุน</v>
      </c>
      <c r="O31" s="24"/>
    </row>
    <row r="32" spans="1:15" ht="120">
      <c r="A32" s="16">
        <f t="shared" si="1"/>
        <v>29</v>
      </c>
      <c r="B32" s="23" t="s">
        <v>159</v>
      </c>
      <c r="C32" s="37" t="s">
        <v>9</v>
      </c>
      <c r="D32" s="35" t="s">
        <v>81</v>
      </c>
      <c r="E32" s="36" t="s">
        <v>82</v>
      </c>
      <c r="F32" s="24" t="s">
        <v>526</v>
      </c>
      <c r="G32" s="24" t="s">
        <v>5</v>
      </c>
      <c r="H32" s="25">
        <v>40000</v>
      </c>
      <c r="I32" s="25">
        <v>40000</v>
      </c>
      <c r="J32" s="25"/>
      <c r="K32" s="25"/>
      <c r="L32" s="26">
        <f t="shared" si="4"/>
        <v>0</v>
      </c>
      <c r="M32" s="25">
        <v>80000</v>
      </c>
      <c r="N32" s="27" t="str">
        <f t="shared" si="5"/>
        <v>ปิดทุน</v>
      </c>
      <c r="O32" s="24"/>
    </row>
    <row r="33" spans="1:15" ht="48">
      <c r="A33" s="16">
        <f t="shared" si="1"/>
        <v>30</v>
      </c>
      <c r="B33" s="23" t="s">
        <v>160</v>
      </c>
      <c r="C33" s="37" t="s">
        <v>9</v>
      </c>
      <c r="D33" s="35" t="s">
        <v>84</v>
      </c>
      <c r="E33" s="36" t="s">
        <v>85</v>
      </c>
      <c r="F33" s="24" t="s">
        <v>526</v>
      </c>
      <c r="G33" s="24" t="s">
        <v>5</v>
      </c>
      <c r="H33" s="25">
        <v>40000</v>
      </c>
      <c r="I33" s="25">
        <v>40000</v>
      </c>
      <c r="J33" s="25"/>
      <c r="K33" s="25"/>
      <c r="L33" s="26">
        <f t="shared" si="4"/>
        <v>0</v>
      </c>
      <c r="M33" s="25">
        <v>80000</v>
      </c>
      <c r="N33" s="27" t="str">
        <f t="shared" si="5"/>
        <v>ปิดทุน</v>
      </c>
      <c r="O33" s="24"/>
    </row>
    <row r="34" spans="1:15" ht="120">
      <c r="A34" s="16">
        <f t="shared" si="1"/>
        <v>31</v>
      </c>
      <c r="B34" s="23" t="s">
        <v>161</v>
      </c>
      <c r="C34" s="37" t="s">
        <v>9</v>
      </c>
      <c r="D34" s="35" t="s">
        <v>162</v>
      </c>
      <c r="E34" s="36" t="s">
        <v>163</v>
      </c>
      <c r="F34" s="24" t="s">
        <v>526</v>
      </c>
      <c r="G34" s="24" t="s">
        <v>5</v>
      </c>
      <c r="H34" s="25">
        <v>40000</v>
      </c>
      <c r="I34" s="25">
        <v>40000</v>
      </c>
      <c r="J34" s="25"/>
      <c r="K34" s="25"/>
      <c r="L34" s="26">
        <f t="shared" si="4"/>
        <v>0</v>
      </c>
      <c r="M34" s="25">
        <v>80000</v>
      </c>
      <c r="N34" s="27" t="str">
        <f t="shared" si="5"/>
        <v>ปิดทุน</v>
      </c>
      <c r="O34" s="24"/>
    </row>
    <row r="35" spans="1:15" s="148" customFormat="1" ht="48">
      <c r="A35" s="163">
        <f t="shared" si="1"/>
        <v>32</v>
      </c>
      <c r="B35" s="160" t="s">
        <v>164</v>
      </c>
      <c r="C35" s="162" t="s">
        <v>33</v>
      </c>
      <c r="D35" s="155" t="s">
        <v>165</v>
      </c>
      <c r="E35" s="156" t="s">
        <v>166</v>
      </c>
      <c r="F35" s="157" t="s">
        <v>525</v>
      </c>
      <c r="G35" s="157" t="s">
        <v>5</v>
      </c>
      <c r="H35" s="149">
        <v>31000</v>
      </c>
      <c r="I35" s="149"/>
      <c r="J35" s="149"/>
      <c r="K35" s="149"/>
      <c r="L35" s="158">
        <f t="shared" si="4"/>
        <v>-31000</v>
      </c>
      <c r="M35" s="149">
        <v>62000</v>
      </c>
      <c r="N35" s="159" t="str">
        <f t="shared" si="5"/>
        <v>ยังไม่ปิดทุน</v>
      </c>
      <c r="O35" s="157"/>
    </row>
    <row r="36" spans="1:15" ht="120">
      <c r="A36" s="16">
        <f t="shared" si="1"/>
        <v>33</v>
      </c>
      <c r="B36" s="23" t="s">
        <v>167</v>
      </c>
      <c r="C36" s="37" t="s">
        <v>168</v>
      </c>
      <c r="D36" s="35" t="s">
        <v>169</v>
      </c>
      <c r="E36" s="36" t="s">
        <v>170</v>
      </c>
      <c r="F36" s="24" t="s">
        <v>521</v>
      </c>
      <c r="G36" s="24" t="s">
        <v>5</v>
      </c>
      <c r="H36" s="25">
        <v>40000</v>
      </c>
      <c r="I36" s="25">
        <v>16000</v>
      </c>
      <c r="J36" s="25">
        <v>24000</v>
      </c>
      <c r="K36" s="25"/>
      <c r="L36" s="26">
        <f t="shared" si="4"/>
        <v>0</v>
      </c>
      <c r="M36" s="25">
        <v>80000</v>
      </c>
      <c r="N36" s="27" t="str">
        <f t="shared" si="5"/>
        <v>ปิดทุน</v>
      </c>
      <c r="O36" s="24"/>
    </row>
    <row r="37" spans="1:15" ht="48">
      <c r="A37" s="16">
        <f t="shared" si="1"/>
        <v>34</v>
      </c>
      <c r="B37" s="23" t="s">
        <v>171</v>
      </c>
      <c r="C37" s="37" t="s">
        <v>9</v>
      </c>
      <c r="D37" s="35" t="s">
        <v>50</v>
      </c>
      <c r="E37" s="36" t="s">
        <v>175</v>
      </c>
      <c r="F37" s="24" t="s">
        <v>521</v>
      </c>
      <c r="G37" s="24" t="s">
        <v>5</v>
      </c>
      <c r="H37" s="25">
        <v>35000</v>
      </c>
      <c r="I37" s="25">
        <v>35000</v>
      </c>
      <c r="J37" s="25"/>
      <c r="K37" s="25"/>
      <c r="L37" s="26">
        <f t="shared" ref="L37:L46" si="6">H37+I37+J37-M37</f>
        <v>0</v>
      </c>
      <c r="M37" s="25">
        <v>70000</v>
      </c>
      <c r="N37" s="27" t="str">
        <f t="shared" si="5"/>
        <v>ปิดทุน</v>
      </c>
      <c r="O37" s="24"/>
    </row>
    <row r="38" spans="1:15" ht="72">
      <c r="A38" s="16">
        <f t="shared" si="1"/>
        <v>35</v>
      </c>
      <c r="B38" s="23" t="s">
        <v>172</v>
      </c>
      <c r="C38" s="37" t="s">
        <v>114</v>
      </c>
      <c r="D38" s="35" t="s">
        <v>173</v>
      </c>
      <c r="E38" s="36" t="s">
        <v>174</v>
      </c>
      <c r="F38" s="24" t="s">
        <v>520</v>
      </c>
      <c r="G38" s="24" t="s">
        <v>5</v>
      </c>
      <c r="H38" s="25">
        <v>31000</v>
      </c>
      <c r="I38" s="25">
        <v>31000</v>
      </c>
      <c r="J38" s="25"/>
      <c r="K38" s="25"/>
      <c r="L38" s="26">
        <f t="shared" si="6"/>
        <v>0</v>
      </c>
      <c r="M38" s="25">
        <v>62000</v>
      </c>
      <c r="N38" s="27" t="str">
        <f t="shared" si="5"/>
        <v>ปิดทุน</v>
      </c>
      <c r="O38" s="24"/>
    </row>
    <row r="39" spans="1:15" ht="96">
      <c r="A39" s="16">
        <f t="shared" si="1"/>
        <v>36</v>
      </c>
      <c r="B39" s="23" t="s">
        <v>176</v>
      </c>
      <c r="C39" s="37" t="s">
        <v>33</v>
      </c>
      <c r="D39" s="35" t="s">
        <v>177</v>
      </c>
      <c r="E39" s="36" t="s">
        <v>178</v>
      </c>
      <c r="F39" s="24" t="s">
        <v>521</v>
      </c>
      <c r="G39" s="24" t="s">
        <v>96</v>
      </c>
      <c r="H39" s="25">
        <v>20000</v>
      </c>
      <c r="I39" s="25">
        <v>20000</v>
      </c>
      <c r="J39" s="25"/>
      <c r="K39" s="25"/>
      <c r="L39" s="26">
        <f t="shared" si="6"/>
        <v>0</v>
      </c>
      <c r="M39" s="25">
        <v>40000</v>
      </c>
      <c r="N39" s="27" t="str">
        <f t="shared" si="5"/>
        <v>ปิดทุน</v>
      </c>
      <c r="O39" s="24"/>
    </row>
    <row r="40" spans="1:15" ht="96">
      <c r="A40" s="16">
        <f t="shared" si="1"/>
        <v>37</v>
      </c>
      <c r="B40" s="23" t="s">
        <v>179</v>
      </c>
      <c r="C40" s="37" t="s">
        <v>33</v>
      </c>
      <c r="D40" s="35" t="s">
        <v>180</v>
      </c>
      <c r="E40" s="36" t="s">
        <v>181</v>
      </c>
      <c r="F40" s="24" t="s">
        <v>523</v>
      </c>
      <c r="G40" s="24" t="s">
        <v>96</v>
      </c>
      <c r="H40" s="25">
        <v>20000</v>
      </c>
      <c r="I40" s="25">
        <v>20000</v>
      </c>
      <c r="J40" s="25"/>
      <c r="K40" s="25"/>
      <c r="L40" s="26">
        <f t="shared" si="6"/>
        <v>0</v>
      </c>
      <c r="M40" s="25">
        <v>40000</v>
      </c>
      <c r="N40" s="27" t="str">
        <f t="shared" si="5"/>
        <v>ปิดทุน</v>
      </c>
      <c r="O40" s="24"/>
    </row>
    <row r="41" spans="1:15" ht="72">
      <c r="A41" s="16">
        <f t="shared" si="1"/>
        <v>38</v>
      </c>
      <c r="B41" s="23" t="s">
        <v>182</v>
      </c>
      <c r="C41" s="37" t="s">
        <v>33</v>
      </c>
      <c r="D41" s="35" t="s">
        <v>183</v>
      </c>
      <c r="E41" s="36" t="s">
        <v>184</v>
      </c>
      <c r="F41" s="24" t="s">
        <v>523</v>
      </c>
      <c r="G41" s="24" t="s">
        <v>96</v>
      </c>
      <c r="H41" s="25">
        <v>20000</v>
      </c>
      <c r="I41" s="25">
        <v>20000</v>
      </c>
      <c r="J41" s="25"/>
      <c r="K41" s="25"/>
      <c r="L41" s="26">
        <f t="shared" si="6"/>
        <v>0</v>
      </c>
      <c r="M41" s="25">
        <v>40000</v>
      </c>
      <c r="N41" s="27" t="str">
        <f t="shared" si="5"/>
        <v>ปิดทุน</v>
      </c>
      <c r="O41" s="24"/>
    </row>
    <row r="42" spans="1:15" ht="48">
      <c r="A42" s="16">
        <f t="shared" si="1"/>
        <v>39</v>
      </c>
      <c r="B42" s="23" t="s">
        <v>185</v>
      </c>
      <c r="C42" s="34" t="s">
        <v>33</v>
      </c>
      <c r="D42" s="35" t="s">
        <v>186</v>
      </c>
      <c r="E42" s="36" t="s">
        <v>187</v>
      </c>
      <c r="F42" s="24" t="s">
        <v>523</v>
      </c>
      <c r="G42" s="24" t="s">
        <v>5</v>
      </c>
      <c r="H42" s="25">
        <v>40000</v>
      </c>
      <c r="I42" s="25">
        <v>40000</v>
      </c>
      <c r="J42" s="25"/>
      <c r="K42" s="25"/>
      <c r="L42" s="26">
        <f t="shared" si="6"/>
        <v>0</v>
      </c>
      <c r="M42" s="25">
        <v>80000</v>
      </c>
      <c r="N42" s="27" t="str">
        <f>IF(L42=0,"ปิดทุน",IF(L42&lt;0,"ยังไม่ปิดทุน","เกินทุน"))</f>
        <v>ปิดทุน</v>
      </c>
      <c r="O42" s="24"/>
    </row>
    <row r="43" spans="1:15" ht="96">
      <c r="A43" s="16">
        <f t="shared" si="1"/>
        <v>40</v>
      </c>
      <c r="B43" s="23" t="s">
        <v>188</v>
      </c>
      <c r="C43" s="37" t="s">
        <v>13</v>
      </c>
      <c r="D43" s="35" t="s">
        <v>27</v>
      </c>
      <c r="E43" s="36" t="s">
        <v>28</v>
      </c>
      <c r="F43" s="24" t="s">
        <v>519</v>
      </c>
      <c r="G43" s="24" t="s">
        <v>5</v>
      </c>
      <c r="H43" s="25">
        <v>31000</v>
      </c>
      <c r="I43" s="25">
        <v>31000</v>
      </c>
      <c r="J43" s="25"/>
      <c r="K43" s="25"/>
      <c r="L43" s="26">
        <f t="shared" si="6"/>
        <v>0</v>
      </c>
      <c r="M43" s="25">
        <v>62000</v>
      </c>
      <c r="N43" s="27" t="str">
        <f>IF(L43=0,"ปิดทุน",IF(L43&lt;0,"ยังไม่ปิดทุน","เกินทุน"))</f>
        <v>ปิดทุน</v>
      </c>
      <c r="O43" s="24" t="s">
        <v>1153</v>
      </c>
    </row>
    <row r="44" spans="1:15" ht="48">
      <c r="A44" s="16">
        <f t="shared" si="1"/>
        <v>41</v>
      </c>
      <c r="B44" s="23" t="s">
        <v>189</v>
      </c>
      <c r="C44" s="37" t="s">
        <v>9</v>
      </c>
      <c r="D44" s="35" t="s">
        <v>190</v>
      </c>
      <c r="E44" s="36" t="s">
        <v>191</v>
      </c>
      <c r="F44" s="24" t="s">
        <v>525</v>
      </c>
      <c r="G44" s="24" t="str">
        <f>G42</f>
        <v>ทุนนักวิจัยทั่วไป</v>
      </c>
      <c r="H44" s="25">
        <v>31000</v>
      </c>
      <c r="I44" s="25">
        <v>31000</v>
      </c>
      <c r="J44" s="25"/>
      <c r="K44" s="25"/>
      <c r="L44" s="26">
        <f t="shared" si="6"/>
        <v>0</v>
      </c>
      <c r="M44" s="25">
        <v>62000</v>
      </c>
      <c r="N44" s="27" t="str">
        <f>IF(L44=0,"ปิดทุน",IF(L44&lt;0,"ยังไม่ปิดทุน","เกินทุน"))</f>
        <v>ปิดทุน</v>
      </c>
      <c r="O44" s="28"/>
    </row>
    <row r="45" spans="1:15" ht="72">
      <c r="A45" s="16">
        <f t="shared" si="1"/>
        <v>42</v>
      </c>
      <c r="B45" s="23" t="s">
        <v>192</v>
      </c>
      <c r="C45" s="37" t="s">
        <v>114</v>
      </c>
      <c r="D45" s="35" t="s">
        <v>193</v>
      </c>
      <c r="E45" s="36" t="s">
        <v>194</v>
      </c>
      <c r="F45" s="24" t="s">
        <v>520</v>
      </c>
      <c r="G45" s="24" t="str">
        <f>G44</f>
        <v>ทุนนักวิจัยทั่วไป</v>
      </c>
      <c r="H45" s="25">
        <v>31000</v>
      </c>
      <c r="I45" s="25">
        <v>31000</v>
      </c>
      <c r="J45" s="25"/>
      <c r="K45" s="25"/>
      <c r="L45" s="26">
        <f t="shared" si="6"/>
        <v>0</v>
      </c>
      <c r="M45" s="25">
        <v>62000</v>
      </c>
      <c r="N45" s="27" t="str">
        <f>IF(L45=0,"ปิดทุน",IF(L45&lt;0,"ยังไม่ปิดทุน","เกินทุน"))</f>
        <v>ปิดทุน</v>
      </c>
      <c r="O45" s="24"/>
    </row>
    <row r="46" spans="1:15" ht="72">
      <c r="A46" s="16">
        <f t="shared" si="1"/>
        <v>43</v>
      </c>
      <c r="B46" s="11" t="s">
        <v>195</v>
      </c>
      <c r="C46" s="49" t="s">
        <v>33</v>
      </c>
      <c r="D46" s="38" t="s">
        <v>196</v>
      </c>
      <c r="E46" s="39" t="s">
        <v>35</v>
      </c>
      <c r="F46" s="12" t="s">
        <v>519</v>
      </c>
      <c r="G46" s="12" t="str">
        <f>G45</f>
        <v>ทุนนักวิจัยทั่วไป</v>
      </c>
      <c r="H46" s="13">
        <v>31000</v>
      </c>
      <c r="I46" s="13">
        <v>31000</v>
      </c>
      <c r="J46" s="13"/>
      <c r="K46" s="13"/>
      <c r="L46" s="14">
        <f t="shared" si="6"/>
        <v>0</v>
      </c>
      <c r="M46" s="13">
        <v>62000</v>
      </c>
      <c r="N46" s="15" t="str">
        <f>IF(L46=0,"ปิดทุน",IF(L46&lt;0,"ยังไม่ปิดทุน","เกินทุน"))</f>
        <v>ปิดทุน</v>
      </c>
      <c r="O46" s="12"/>
    </row>
  </sheetData>
  <mergeCells count="9">
    <mergeCell ref="A1:O1"/>
    <mergeCell ref="N2:N3"/>
    <mergeCell ref="O2:O3"/>
    <mergeCell ref="H2:M2"/>
    <mergeCell ref="A2:A3"/>
    <mergeCell ref="B2:B3"/>
    <mergeCell ref="C2:E3"/>
    <mergeCell ref="F2:F3"/>
    <mergeCell ref="G2:G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6699"/>
  </sheetPr>
  <dimension ref="A1:S87"/>
  <sheetViews>
    <sheetView topLeftCell="A3" zoomScale="60" zoomScaleNormal="60" workbookViewId="0">
      <selection activeCell="B2" sqref="B2:B3"/>
    </sheetView>
  </sheetViews>
  <sheetFormatPr defaultColWidth="9" defaultRowHeight="24"/>
  <cols>
    <col min="1" max="1" width="9" style="7"/>
    <col min="2" max="2" width="47" style="6" customWidth="1"/>
    <col min="3" max="3" width="11.88671875" style="5" customWidth="1"/>
    <col min="4" max="5" width="18.109375" style="5" customWidth="1"/>
    <col min="6" max="6" width="7" style="7" bestFit="1" customWidth="1"/>
    <col min="7" max="7" width="32.5546875" style="5" customWidth="1"/>
    <col min="8" max="10" width="15.109375" style="8" bestFit="1" customWidth="1"/>
    <col min="11" max="11" width="16.88671875" style="8" bestFit="1" customWidth="1"/>
    <col min="12" max="12" width="17.109375" style="9" bestFit="1" customWidth="1"/>
    <col min="13" max="13" width="18.33203125" style="8" customWidth="1"/>
    <col min="14" max="14" width="23.6640625" style="30" customWidth="1"/>
    <col min="15" max="15" width="63.5546875" style="5" customWidth="1"/>
    <col min="16" max="16384" width="9" style="5"/>
  </cols>
  <sheetData>
    <row r="1" spans="1:15" s="2" customFormat="1" ht="27">
      <c r="A1" s="393" t="s">
        <v>514</v>
      </c>
      <c r="B1" s="393"/>
      <c r="C1" s="393"/>
      <c r="D1" s="393"/>
      <c r="E1" s="393"/>
      <c r="F1" s="393"/>
      <c r="G1" s="393"/>
      <c r="H1" s="393"/>
      <c r="I1" s="393"/>
      <c r="J1" s="393"/>
      <c r="K1" s="393"/>
      <c r="L1" s="393"/>
      <c r="M1" s="393"/>
      <c r="N1" s="393"/>
      <c r="O1" s="393"/>
    </row>
    <row r="2" spans="1:15" s="2" customFormat="1">
      <c r="A2" s="410" t="s">
        <v>0</v>
      </c>
      <c r="B2" s="411" t="s">
        <v>1</v>
      </c>
      <c r="C2" s="410" t="s">
        <v>2</v>
      </c>
      <c r="D2" s="410"/>
      <c r="E2" s="410"/>
      <c r="F2" s="410" t="s">
        <v>4</v>
      </c>
      <c r="G2" s="410" t="s">
        <v>3</v>
      </c>
      <c r="H2" s="394" t="s">
        <v>6</v>
      </c>
      <c r="I2" s="394"/>
      <c r="J2" s="394"/>
      <c r="K2" s="394"/>
      <c r="L2" s="394"/>
      <c r="M2" s="394"/>
      <c r="N2" s="396" t="s">
        <v>11</v>
      </c>
      <c r="O2" s="396" t="s">
        <v>500</v>
      </c>
    </row>
    <row r="3" spans="1:15" s="52" customFormat="1">
      <c r="A3" s="410"/>
      <c r="B3" s="411"/>
      <c r="C3" s="410"/>
      <c r="D3" s="410"/>
      <c r="E3" s="410"/>
      <c r="F3" s="410"/>
      <c r="G3" s="410"/>
      <c r="H3" s="3" t="s">
        <v>65</v>
      </c>
      <c r="I3" s="3" t="s">
        <v>66</v>
      </c>
      <c r="J3" s="3" t="s">
        <v>67</v>
      </c>
      <c r="K3" s="3" t="s">
        <v>396</v>
      </c>
      <c r="L3" s="4" t="s">
        <v>68</v>
      </c>
      <c r="M3" s="43" t="s">
        <v>6</v>
      </c>
      <c r="N3" s="397"/>
      <c r="O3" s="397"/>
    </row>
    <row r="4" spans="1:15" ht="29.25" customHeight="1">
      <c r="A4" s="16">
        <f>ROW(A1)</f>
        <v>1</v>
      </c>
      <c r="B4" s="17" t="s">
        <v>197</v>
      </c>
      <c r="C4" s="45" t="s">
        <v>9</v>
      </c>
      <c r="D4" s="51" t="s">
        <v>47</v>
      </c>
      <c r="E4" s="47" t="s">
        <v>48</v>
      </c>
      <c r="F4" s="16" t="s">
        <v>519</v>
      </c>
      <c r="G4" s="18" t="s">
        <v>5</v>
      </c>
      <c r="H4" s="19">
        <v>40000</v>
      </c>
      <c r="I4" s="19">
        <v>40000</v>
      </c>
      <c r="J4" s="19"/>
      <c r="K4" s="19"/>
      <c r="L4" s="20">
        <f>H4+I4+J4-M4</f>
        <v>0</v>
      </c>
      <c r="M4" s="19">
        <v>80000</v>
      </c>
      <c r="N4" s="21" t="str">
        <f>IF(L4=0,"ปิดทุน",IF(L4&lt;0,"ยังไม่ปิดทุน","เกินทุน"))</f>
        <v>ปิดทุน</v>
      </c>
      <c r="O4" s="18"/>
    </row>
    <row r="5" spans="1:15" ht="72">
      <c r="A5" s="16">
        <f t="shared" ref="A5:A38" si="0">ROW(A2)</f>
        <v>2</v>
      </c>
      <c r="B5" s="23" t="s">
        <v>198</v>
      </c>
      <c r="C5" s="37" t="s">
        <v>43</v>
      </c>
      <c r="D5" s="35" t="s">
        <v>44</v>
      </c>
      <c r="E5" s="36" t="s">
        <v>45</v>
      </c>
      <c r="F5" s="16" t="s">
        <v>519</v>
      </c>
      <c r="G5" s="24" t="s">
        <v>5</v>
      </c>
      <c r="H5" s="25">
        <v>40000</v>
      </c>
      <c r="I5" s="25">
        <v>40000</v>
      </c>
      <c r="J5" s="25"/>
      <c r="K5" s="25"/>
      <c r="L5" s="26">
        <f t="shared" ref="L5:L38" si="1">H5+I5+J5-M5</f>
        <v>0</v>
      </c>
      <c r="M5" s="25">
        <v>80000</v>
      </c>
      <c r="N5" s="27" t="str">
        <f t="shared" ref="N5:N38" si="2">IF(L5=0,"ปิดทุน",IF(L5&lt;0,"ยังไม่ปิดทุน","เกินทุน"))</f>
        <v>ปิดทุน</v>
      </c>
      <c r="O5" s="24"/>
    </row>
    <row r="6" spans="1:15" ht="48">
      <c r="A6" s="16">
        <f t="shared" si="0"/>
        <v>3</v>
      </c>
      <c r="B6" s="23" t="s">
        <v>199</v>
      </c>
      <c r="C6" s="37" t="s">
        <v>33</v>
      </c>
      <c r="D6" s="35" t="s">
        <v>202</v>
      </c>
      <c r="E6" s="36" t="s">
        <v>203</v>
      </c>
      <c r="F6" s="16" t="s">
        <v>519</v>
      </c>
      <c r="G6" s="24" t="str">
        <f>G4</f>
        <v>ทุนนักวิจัยทั่วไป</v>
      </c>
      <c r="H6" s="25">
        <v>40000</v>
      </c>
      <c r="I6" s="25">
        <v>40000</v>
      </c>
      <c r="J6" s="25"/>
      <c r="K6" s="25"/>
      <c r="L6" s="26">
        <f t="shared" si="1"/>
        <v>0</v>
      </c>
      <c r="M6" s="25">
        <v>80000</v>
      </c>
      <c r="N6" s="27" t="str">
        <f t="shared" si="2"/>
        <v>ปิดทุน</v>
      </c>
      <c r="O6" s="28"/>
    </row>
    <row r="7" spans="1:15" ht="96">
      <c r="A7" s="16">
        <f t="shared" si="0"/>
        <v>4</v>
      </c>
      <c r="B7" s="23" t="s">
        <v>204</v>
      </c>
      <c r="C7" s="37" t="s">
        <v>33</v>
      </c>
      <c r="D7" s="35" t="s">
        <v>200</v>
      </c>
      <c r="E7" s="36" t="s">
        <v>201</v>
      </c>
      <c r="F7" s="16" t="s">
        <v>519</v>
      </c>
      <c r="G7" s="24" t="str">
        <f>G6</f>
        <v>ทุนนักวิจัยทั่วไป</v>
      </c>
      <c r="H7" s="25">
        <v>40000</v>
      </c>
      <c r="I7" s="25">
        <v>40000</v>
      </c>
      <c r="J7" s="25"/>
      <c r="K7" s="25"/>
      <c r="L7" s="26">
        <f t="shared" si="1"/>
        <v>0</v>
      </c>
      <c r="M7" s="25">
        <v>80000</v>
      </c>
      <c r="N7" s="27" t="str">
        <f t="shared" si="2"/>
        <v>ปิดทุน</v>
      </c>
      <c r="O7" s="24"/>
    </row>
    <row r="8" spans="1:15" ht="96">
      <c r="A8" s="16">
        <f t="shared" si="0"/>
        <v>5</v>
      </c>
      <c r="B8" s="23" t="s">
        <v>205</v>
      </c>
      <c r="C8" s="37" t="s">
        <v>9</v>
      </c>
      <c r="D8" s="35" t="s">
        <v>37</v>
      </c>
      <c r="E8" s="36" t="s">
        <v>38</v>
      </c>
      <c r="F8" s="16" t="s">
        <v>519</v>
      </c>
      <c r="G8" s="24" t="str">
        <f>G7</f>
        <v>ทุนนักวิจัยทั่วไป</v>
      </c>
      <c r="H8" s="25">
        <v>40000</v>
      </c>
      <c r="I8" s="25">
        <v>40000</v>
      </c>
      <c r="J8" s="25"/>
      <c r="K8" s="25"/>
      <c r="L8" s="26">
        <f t="shared" si="1"/>
        <v>0</v>
      </c>
      <c r="M8" s="25">
        <v>80000</v>
      </c>
      <c r="N8" s="27" t="str">
        <f t="shared" si="2"/>
        <v>ปิดทุน</v>
      </c>
      <c r="O8" s="24"/>
    </row>
    <row r="9" spans="1:15" ht="72">
      <c r="A9" s="16">
        <f t="shared" si="0"/>
        <v>6</v>
      </c>
      <c r="B9" s="23" t="s">
        <v>206</v>
      </c>
      <c r="C9" s="37" t="s">
        <v>9</v>
      </c>
      <c r="D9" s="35" t="s">
        <v>24</v>
      </c>
      <c r="E9" s="36" t="s">
        <v>25</v>
      </c>
      <c r="F9" s="16" t="s">
        <v>519</v>
      </c>
      <c r="G9" s="24" t="str">
        <f t="shared" ref="G9:G38" si="3">G8</f>
        <v>ทุนนักวิจัยทั่วไป</v>
      </c>
      <c r="H9" s="25">
        <v>40000</v>
      </c>
      <c r="I9" s="25">
        <v>40000</v>
      </c>
      <c r="J9" s="25"/>
      <c r="K9" s="25"/>
      <c r="L9" s="26">
        <f t="shared" si="1"/>
        <v>0</v>
      </c>
      <c r="M9" s="25">
        <v>80000</v>
      </c>
      <c r="N9" s="27" t="str">
        <f t="shared" si="2"/>
        <v>ปิดทุน</v>
      </c>
      <c r="O9" s="24"/>
    </row>
    <row r="10" spans="1:15" s="199" customFormat="1" ht="96">
      <c r="A10" s="211">
        <f t="shared" si="0"/>
        <v>7</v>
      </c>
      <c r="B10" s="215" t="s">
        <v>207</v>
      </c>
      <c r="C10" s="206" t="s">
        <v>9</v>
      </c>
      <c r="D10" s="193" t="s">
        <v>208</v>
      </c>
      <c r="E10" s="194" t="s">
        <v>209</v>
      </c>
      <c r="F10" s="211" t="s">
        <v>519</v>
      </c>
      <c r="G10" s="195" t="str">
        <f t="shared" si="3"/>
        <v>ทุนนักวิจัยทั่วไป</v>
      </c>
      <c r="H10" s="196">
        <v>40000</v>
      </c>
      <c r="I10" s="196"/>
      <c r="J10" s="196"/>
      <c r="K10" s="196"/>
      <c r="L10" s="197">
        <f t="shared" si="1"/>
        <v>-40000</v>
      </c>
      <c r="M10" s="196">
        <v>80000</v>
      </c>
      <c r="N10" s="198" t="str">
        <f t="shared" si="2"/>
        <v>ยังไม่ปิดทุน</v>
      </c>
      <c r="O10" s="195" t="s">
        <v>1177</v>
      </c>
    </row>
    <row r="11" spans="1:15" ht="72">
      <c r="A11" s="16">
        <f t="shared" si="0"/>
        <v>8</v>
      </c>
      <c r="B11" s="23" t="s">
        <v>210</v>
      </c>
      <c r="C11" s="37" t="s">
        <v>33</v>
      </c>
      <c r="D11" s="35" t="s">
        <v>30</v>
      </c>
      <c r="E11" s="36" t="s">
        <v>31</v>
      </c>
      <c r="F11" s="16" t="s">
        <v>519</v>
      </c>
      <c r="G11" s="24" t="str">
        <f t="shared" si="3"/>
        <v>ทุนนักวิจัยทั่วไป</v>
      </c>
      <c r="H11" s="25">
        <v>40000</v>
      </c>
      <c r="I11" s="25">
        <v>40000</v>
      </c>
      <c r="J11" s="25"/>
      <c r="K11" s="25"/>
      <c r="L11" s="26">
        <f t="shared" si="1"/>
        <v>0</v>
      </c>
      <c r="M11" s="25">
        <v>80000</v>
      </c>
      <c r="N11" s="27" t="str">
        <f t="shared" si="2"/>
        <v>ปิดทุน</v>
      </c>
      <c r="O11" s="24"/>
    </row>
    <row r="12" spans="1:15" ht="48">
      <c r="A12" s="16">
        <f t="shared" si="0"/>
        <v>9</v>
      </c>
      <c r="B12" s="23" t="s">
        <v>211</v>
      </c>
      <c r="C12" s="37" t="s">
        <v>33</v>
      </c>
      <c r="D12" s="35" t="s">
        <v>180</v>
      </c>
      <c r="E12" s="36" t="s">
        <v>181</v>
      </c>
      <c r="F12" s="22" t="s">
        <v>523</v>
      </c>
      <c r="G12" s="24" t="str">
        <f t="shared" si="3"/>
        <v>ทุนนักวิจัยทั่วไป</v>
      </c>
      <c r="H12" s="25">
        <v>50000</v>
      </c>
      <c r="I12" s="25">
        <v>50000</v>
      </c>
      <c r="J12" s="25"/>
      <c r="K12" s="25"/>
      <c r="L12" s="26">
        <f t="shared" si="1"/>
        <v>0</v>
      </c>
      <c r="M12" s="25">
        <v>100000</v>
      </c>
      <c r="N12" s="27" t="str">
        <f t="shared" si="2"/>
        <v>ปิดทุน</v>
      </c>
      <c r="O12" s="24"/>
    </row>
    <row r="13" spans="1:15" ht="72">
      <c r="A13" s="16">
        <f t="shared" si="0"/>
        <v>10</v>
      </c>
      <c r="B13" s="23" t="s">
        <v>212</v>
      </c>
      <c r="C13" s="37" t="s">
        <v>9</v>
      </c>
      <c r="D13" s="35" t="s">
        <v>62</v>
      </c>
      <c r="E13" s="36" t="s">
        <v>63</v>
      </c>
      <c r="F13" s="22" t="s">
        <v>523</v>
      </c>
      <c r="G13" s="24" t="str">
        <f t="shared" si="3"/>
        <v>ทุนนักวิจัยทั่วไป</v>
      </c>
      <c r="H13" s="25">
        <v>50000</v>
      </c>
      <c r="I13" s="25">
        <v>50000</v>
      </c>
      <c r="J13" s="25"/>
      <c r="K13" s="25"/>
      <c r="L13" s="26">
        <f t="shared" si="1"/>
        <v>0</v>
      </c>
      <c r="M13" s="25">
        <v>100000</v>
      </c>
      <c r="N13" s="27" t="str">
        <f t="shared" si="2"/>
        <v>ปิดทุน</v>
      </c>
      <c r="O13" s="24"/>
    </row>
    <row r="14" spans="1:15" ht="72">
      <c r="A14" s="16">
        <f t="shared" si="0"/>
        <v>11</v>
      </c>
      <c r="B14" s="23" t="s">
        <v>213</v>
      </c>
      <c r="C14" s="37" t="s">
        <v>58</v>
      </c>
      <c r="D14" s="35" t="s">
        <v>59</v>
      </c>
      <c r="E14" s="36" t="s">
        <v>60</v>
      </c>
      <c r="F14" s="22" t="s">
        <v>520</v>
      </c>
      <c r="G14" s="24" t="str">
        <f t="shared" si="3"/>
        <v>ทุนนักวิจัยทั่วไป</v>
      </c>
      <c r="H14" s="25">
        <v>50000</v>
      </c>
      <c r="I14" s="25">
        <v>50000</v>
      </c>
      <c r="J14" s="25"/>
      <c r="K14" s="25"/>
      <c r="L14" s="26">
        <f t="shared" si="1"/>
        <v>0</v>
      </c>
      <c r="M14" s="25">
        <v>100000</v>
      </c>
      <c r="N14" s="27" t="str">
        <f t="shared" si="2"/>
        <v>ปิดทุน</v>
      </c>
      <c r="O14" s="24"/>
    </row>
    <row r="15" spans="1:15" ht="72">
      <c r="A15" s="16">
        <f t="shared" si="0"/>
        <v>12</v>
      </c>
      <c r="B15" s="23" t="s">
        <v>214</v>
      </c>
      <c r="C15" s="37" t="s">
        <v>43</v>
      </c>
      <c r="D15" s="35" t="s">
        <v>215</v>
      </c>
      <c r="E15" s="36" t="s">
        <v>216</v>
      </c>
      <c r="F15" s="22" t="s">
        <v>523</v>
      </c>
      <c r="G15" s="24" t="str">
        <f t="shared" si="3"/>
        <v>ทุนนักวิจัยทั่วไป</v>
      </c>
      <c r="H15" s="25">
        <v>50000</v>
      </c>
      <c r="I15" s="25">
        <v>50000</v>
      </c>
      <c r="J15" s="25"/>
      <c r="K15" s="25"/>
      <c r="L15" s="26">
        <f t="shared" si="1"/>
        <v>0</v>
      </c>
      <c r="M15" s="25">
        <v>100000</v>
      </c>
      <c r="N15" s="27" t="str">
        <f t="shared" si="2"/>
        <v>ปิดทุน</v>
      </c>
      <c r="O15" s="24"/>
    </row>
    <row r="16" spans="1:15" ht="48">
      <c r="A16" s="16">
        <f t="shared" si="0"/>
        <v>13</v>
      </c>
      <c r="B16" s="23" t="s">
        <v>217</v>
      </c>
      <c r="C16" s="37" t="s">
        <v>33</v>
      </c>
      <c r="D16" s="35" t="s">
        <v>186</v>
      </c>
      <c r="E16" s="36" t="s">
        <v>187</v>
      </c>
      <c r="F16" s="22" t="s">
        <v>523</v>
      </c>
      <c r="G16" s="24" t="str">
        <f t="shared" si="3"/>
        <v>ทุนนักวิจัยทั่วไป</v>
      </c>
      <c r="H16" s="25">
        <v>50000</v>
      </c>
      <c r="I16" s="25">
        <v>50000</v>
      </c>
      <c r="J16" s="25"/>
      <c r="K16" s="25"/>
      <c r="L16" s="26">
        <f t="shared" si="1"/>
        <v>0</v>
      </c>
      <c r="M16" s="25">
        <v>100000</v>
      </c>
      <c r="N16" s="27" t="str">
        <f t="shared" si="2"/>
        <v>ปิดทุน</v>
      </c>
      <c r="O16" s="24"/>
    </row>
    <row r="17" spans="1:19" ht="72">
      <c r="A17" s="16">
        <f t="shared" si="0"/>
        <v>14</v>
      </c>
      <c r="B17" s="23" t="s">
        <v>218</v>
      </c>
      <c r="C17" s="37" t="s">
        <v>9</v>
      </c>
      <c r="D17" s="35" t="s">
        <v>81</v>
      </c>
      <c r="E17" s="36" t="s">
        <v>82</v>
      </c>
      <c r="F17" s="22" t="s">
        <v>526</v>
      </c>
      <c r="G17" s="24" t="str">
        <f t="shared" si="3"/>
        <v>ทุนนักวิจัยทั่วไป</v>
      </c>
      <c r="H17" s="25">
        <v>50000</v>
      </c>
      <c r="I17" s="25">
        <v>20000</v>
      </c>
      <c r="J17" s="25">
        <v>30000</v>
      </c>
      <c r="K17" s="25"/>
      <c r="L17" s="26">
        <f t="shared" si="1"/>
        <v>0</v>
      </c>
      <c r="M17" s="25">
        <v>100000</v>
      </c>
      <c r="N17" s="27" t="str">
        <f t="shared" si="2"/>
        <v>ปิดทุน</v>
      </c>
      <c r="O17" s="24"/>
    </row>
    <row r="18" spans="1:19" ht="120">
      <c r="A18" s="16">
        <f t="shared" si="0"/>
        <v>15</v>
      </c>
      <c r="B18" s="23" t="s">
        <v>220</v>
      </c>
      <c r="C18" s="37" t="s">
        <v>33</v>
      </c>
      <c r="D18" s="35" t="s">
        <v>221</v>
      </c>
      <c r="E18" s="36" t="s">
        <v>222</v>
      </c>
      <c r="F18" s="22" t="s">
        <v>526</v>
      </c>
      <c r="G18" s="24" t="str">
        <f t="shared" si="3"/>
        <v>ทุนนักวิจัยทั่วไป</v>
      </c>
      <c r="H18" s="25">
        <v>50000</v>
      </c>
      <c r="I18" s="25">
        <v>50000</v>
      </c>
      <c r="J18" s="25"/>
      <c r="K18" s="25"/>
      <c r="L18" s="26">
        <f t="shared" si="1"/>
        <v>0</v>
      </c>
      <c r="M18" s="25">
        <v>100000</v>
      </c>
      <c r="N18" s="27" t="str">
        <f t="shared" si="2"/>
        <v>ปิดทุน</v>
      </c>
      <c r="O18" s="24"/>
    </row>
    <row r="19" spans="1:19" s="148" customFormat="1" ht="120">
      <c r="A19" s="163">
        <f t="shared" si="0"/>
        <v>16</v>
      </c>
      <c r="B19" s="160" t="s">
        <v>223</v>
      </c>
      <c r="C19" s="162" t="s">
        <v>33</v>
      </c>
      <c r="D19" s="155" t="s">
        <v>224</v>
      </c>
      <c r="E19" s="156" t="s">
        <v>225</v>
      </c>
      <c r="F19" s="153" t="s">
        <v>526</v>
      </c>
      <c r="G19" s="157" t="str">
        <f t="shared" si="3"/>
        <v>ทุนนักวิจัยทั่วไป</v>
      </c>
      <c r="H19" s="149">
        <v>50000</v>
      </c>
      <c r="I19" s="149"/>
      <c r="J19" s="149"/>
      <c r="K19" s="149"/>
      <c r="L19" s="158">
        <f t="shared" si="1"/>
        <v>-50000</v>
      </c>
      <c r="M19" s="149">
        <v>100000</v>
      </c>
      <c r="N19" s="159" t="str">
        <f t="shared" si="2"/>
        <v>ยังไม่ปิดทุน</v>
      </c>
      <c r="O19" s="157"/>
    </row>
    <row r="20" spans="1:19" ht="72">
      <c r="A20" s="16">
        <f t="shared" si="0"/>
        <v>17</v>
      </c>
      <c r="B20" s="23" t="s">
        <v>226</v>
      </c>
      <c r="C20" s="37" t="s">
        <v>9</v>
      </c>
      <c r="D20" s="35" t="s">
        <v>227</v>
      </c>
      <c r="E20" s="36" t="s">
        <v>85</v>
      </c>
      <c r="F20" s="22" t="s">
        <v>526</v>
      </c>
      <c r="G20" s="24" t="str">
        <f t="shared" si="3"/>
        <v>ทุนนักวิจัยทั่วไป</v>
      </c>
      <c r="H20" s="25">
        <v>50000</v>
      </c>
      <c r="I20" s="25">
        <v>50000</v>
      </c>
      <c r="J20" s="25"/>
      <c r="K20" s="25"/>
      <c r="L20" s="26">
        <f t="shared" si="1"/>
        <v>0</v>
      </c>
      <c r="M20" s="25">
        <v>100000</v>
      </c>
      <c r="N20" s="27" t="str">
        <f t="shared" si="2"/>
        <v>ปิดทุน</v>
      </c>
      <c r="O20" s="24"/>
    </row>
    <row r="21" spans="1:19" s="148" customFormat="1" ht="72">
      <c r="A21" s="163">
        <f t="shared" si="0"/>
        <v>18</v>
      </c>
      <c r="B21" s="160" t="s">
        <v>228</v>
      </c>
      <c r="C21" s="162" t="s">
        <v>43</v>
      </c>
      <c r="D21" s="155" t="s">
        <v>229</v>
      </c>
      <c r="E21" s="156" t="s">
        <v>230</v>
      </c>
      <c r="F21" s="153" t="s">
        <v>526</v>
      </c>
      <c r="G21" s="157" t="str">
        <f t="shared" si="3"/>
        <v>ทุนนักวิจัยทั่วไป</v>
      </c>
      <c r="H21" s="149">
        <v>50000</v>
      </c>
      <c r="I21" s="149"/>
      <c r="J21" s="149"/>
      <c r="K21" s="149"/>
      <c r="L21" s="158">
        <f t="shared" si="1"/>
        <v>-50000</v>
      </c>
      <c r="M21" s="149">
        <v>100000</v>
      </c>
      <c r="N21" s="159" t="str">
        <f t="shared" si="2"/>
        <v>ยังไม่ปิดทุน</v>
      </c>
      <c r="O21" s="157"/>
    </row>
    <row r="22" spans="1:19" ht="120">
      <c r="A22" s="16">
        <f t="shared" si="0"/>
        <v>19</v>
      </c>
      <c r="B22" s="23" t="s">
        <v>231</v>
      </c>
      <c r="C22" s="37" t="s">
        <v>114</v>
      </c>
      <c r="D22" s="35" t="s">
        <v>232</v>
      </c>
      <c r="E22" s="36" t="s">
        <v>233</v>
      </c>
      <c r="F22" s="22" t="s">
        <v>520</v>
      </c>
      <c r="G22" s="24" t="str">
        <f t="shared" si="3"/>
        <v>ทุนนักวิจัยทั่วไป</v>
      </c>
      <c r="H22" s="25">
        <v>30000</v>
      </c>
      <c r="I22" s="25">
        <v>30000</v>
      </c>
      <c r="J22" s="25"/>
      <c r="K22" s="25"/>
      <c r="L22" s="26">
        <f t="shared" si="1"/>
        <v>0</v>
      </c>
      <c r="M22" s="25">
        <v>60000</v>
      </c>
      <c r="N22" s="27" t="str">
        <f t="shared" si="2"/>
        <v>ปิดทุน</v>
      </c>
      <c r="O22" s="24"/>
    </row>
    <row r="23" spans="1:19" ht="120">
      <c r="A23" s="16">
        <f t="shared" si="0"/>
        <v>20</v>
      </c>
      <c r="B23" s="23" t="s">
        <v>234</v>
      </c>
      <c r="C23" s="37" t="s">
        <v>87</v>
      </c>
      <c r="D23" s="35" t="s">
        <v>235</v>
      </c>
      <c r="E23" s="36" t="s">
        <v>236</v>
      </c>
      <c r="F23" s="22" t="s">
        <v>520</v>
      </c>
      <c r="G23" s="24" t="str">
        <f t="shared" si="3"/>
        <v>ทุนนักวิจัยทั่วไป</v>
      </c>
      <c r="H23" s="25">
        <v>30000</v>
      </c>
      <c r="I23" s="25">
        <v>30000</v>
      </c>
      <c r="J23" s="25"/>
      <c r="K23" s="25"/>
      <c r="L23" s="26">
        <f t="shared" si="1"/>
        <v>0</v>
      </c>
      <c r="M23" s="25">
        <v>60000</v>
      </c>
      <c r="N23" s="27" t="str">
        <f t="shared" si="2"/>
        <v>ปิดทุน</v>
      </c>
      <c r="O23" s="24"/>
      <c r="P23" s="5" t="s">
        <v>1016</v>
      </c>
      <c r="S23" s="5" t="s">
        <v>1017</v>
      </c>
    </row>
    <row r="24" spans="1:19" ht="96">
      <c r="A24" s="16">
        <f t="shared" si="0"/>
        <v>21</v>
      </c>
      <c r="B24" s="23" t="s">
        <v>237</v>
      </c>
      <c r="C24" s="37" t="s">
        <v>33</v>
      </c>
      <c r="D24" s="35" t="s">
        <v>238</v>
      </c>
      <c r="E24" s="36" t="s">
        <v>239</v>
      </c>
      <c r="F24" s="22" t="s">
        <v>522</v>
      </c>
      <c r="G24" s="24" t="str">
        <f t="shared" si="3"/>
        <v>ทุนนักวิจัยทั่วไป</v>
      </c>
      <c r="H24" s="25">
        <v>50000</v>
      </c>
      <c r="I24" s="25">
        <v>50000</v>
      </c>
      <c r="J24" s="25"/>
      <c r="K24" s="25"/>
      <c r="L24" s="26">
        <f t="shared" si="1"/>
        <v>0</v>
      </c>
      <c r="M24" s="25">
        <v>100000</v>
      </c>
      <c r="N24" s="27" t="str">
        <f t="shared" si="2"/>
        <v>ปิดทุน</v>
      </c>
      <c r="O24" s="24"/>
    </row>
    <row r="25" spans="1:19" ht="72">
      <c r="A25" s="16">
        <f t="shared" si="0"/>
        <v>22</v>
      </c>
      <c r="B25" s="23" t="s">
        <v>401</v>
      </c>
      <c r="C25" s="37" t="s">
        <v>58</v>
      </c>
      <c r="D25" s="35" t="s">
        <v>402</v>
      </c>
      <c r="E25" s="36" t="s">
        <v>403</v>
      </c>
      <c r="F25" s="22" t="s">
        <v>522</v>
      </c>
      <c r="G25" s="24" t="str">
        <f t="shared" si="3"/>
        <v>ทุนนักวิจัยทั่วไป</v>
      </c>
      <c r="H25" s="25">
        <v>50000</v>
      </c>
      <c r="I25" s="25"/>
      <c r="J25" s="25"/>
      <c r="K25" s="25">
        <v>100000</v>
      </c>
      <c r="L25" s="26">
        <f>H25+I25+J25-M25+H25</f>
        <v>0</v>
      </c>
      <c r="M25" s="25">
        <v>100000</v>
      </c>
      <c r="N25" s="27" t="str">
        <f t="shared" si="2"/>
        <v>ปิดทุน</v>
      </c>
      <c r="O25" s="24" t="s">
        <v>501</v>
      </c>
    </row>
    <row r="26" spans="1:19" ht="72">
      <c r="A26" s="16">
        <f t="shared" si="0"/>
        <v>23</v>
      </c>
      <c r="B26" s="23" t="s">
        <v>404</v>
      </c>
      <c r="C26" s="37" t="s">
        <v>33</v>
      </c>
      <c r="D26" s="35" t="s">
        <v>152</v>
      </c>
      <c r="E26" s="36" t="s">
        <v>15</v>
      </c>
      <c r="F26" s="22" t="s">
        <v>524</v>
      </c>
      <c r="G26" s="24" t="str">
        <f t="shared" si="3"/>
        <v>ทุนนักวิจัยทั่วไป</v>
      </c>
      <c r="H26" s="25">
        <v>40000</v>
      </c>
      <c r="I26" s="25">
        <v>40000</v>
      </c>
      <c r="J26" s="25"/>
      <c r="K26" s="25"/>
      <c r="L26" s="26">
        <f t="shared" si="1"/>
        <v>0</v>
      </c>
      <c r="M26" s="25">
        <v>80000</v>
      </c>
      <c r="N26" s="27" t="str">
        <f t="shared" si="2"/>
        <v>ปิดทุน</v>
      </c>
      <c r="O26" s="24"/>
    </row>
    <row r="27" spans="1:19" ht="96">
      <c r="A27" s="16">
        <f t="shared" si="0"/>
        <v>24</v>
      </c>
      <c r="B27" s="23" t="s">
        <v>240</v>
      </c>
      <c r="C27" s="37" t="s">
        <v>13</v>
      </c>
      <c r="D27" s="35" t="s">
        <v>14</v>
      </c>
      <c r="E27" s="36" t="s">
        <v>15</v>
      </c>
      <c r="F27" s="22" t="s">
        <v>524</v>
      </c>
      <c r="G27" s="24" t="str">
        <f>G24</f>
        <v>ทุนนักวิจัยทั่วไป</v>
      </c>
      <c r="H27" s="25">
        <v>40000</v>
      </c>
      <c r="I27" s="25">
        <v>40000</v>
      </c>
      <c r="J27" s="25"/>
      <c r="K27" s="25"/>
      <c r="L27" s="26">
        <f t="shared" si="1"/>
        <v>0</v>
      </c>
      <c r="M27" s="25">
        <v>80000</v>
      </c>
      <c r="N27" s="27" t="str">
        <f t="shared" si="2"/>
        <v>ปิดทุน</v>
      </c>
      <c r="O27" s="24"/>
    </row>
    <row r="28" spans="1:19" ht="120">
      <c r="A28" s="16">
        <f t="shared" si="0"/>
        <v>25</v>
      </c>
      <c r="B28" s="23" t="s">
        <v>241</v>
      </c>
      <c r="C28" s="37" t="s">
        <v>9</v>
      </c>
      <c r="D28" s="35" t="s">
        <v>8</v>
      </c>
      <c r="E28" s="36" t="s">
        <v>10</v>
      </c>
      <c r="F28" s="22" t="s">
        <v>524</v>
      </c>
      <c r="G28" s="24" t="str">
        <f t="shared" si="3"/>
        <v>ทุนนักวิจัยทั่วไป</v>
      </c>
      <c r="H28" s="25">
        <v>40000</v>
      </c>
      <c r="I28" s="25">
        <v>16000</v>
      </c>
      <c r="J28" s="25">
        <v>24000</v>
      </c>
      <c r="K28" s="25"/>
      <c r="L28" s="26">
        <f t="shared" si="1"/>
        <v>0</v>
      </c>
      <c r="M28" s="25">
        <v>80000</v>
      </c>
      <c r="N28" s="27" t="str">
        <f t="shared" si="2"/>
        <v>ปิดทุน</v>
      </c>
      <c r="O28" s="24"/>
    </row>
    <row r="29" spans="1:19" ht="72">
      <c r="A29" s="16">
        <f t="shared" si="0"/>
        <v>26</v>
      </c>
      <c r="B29" s="23" t="s">
        <v>242</v>
      </c>
      <c r="C29" s="37" t="s">
        <v>9</v>
      </c>
      <c r="D29" s="35" t="s">
        <v>17</v>
      </c>
      <c r="E29" s="36" t="s">
        <v>18</v>
      </c>
      <c r="F29" s="22" t="s">
        <v>524</v>
      </c>
      <c r="G29" s="24" t="str">
        <f t="shared" si="3"/>
        <v>ทุนนักวิจัยทั่วไป</v>
      </c>
      <c r="H29" s="25">
        <v>40000</v>
      </c>
      <c r="I29" s="25">
        <v>40000</v>
      </c>
      <c r="J29" s="25"/>
      <c r="K29" s="25"/>
      <c r="L29" s="26">
        <f t="shared" si="1"/>
        <v>0</v>
      </c>
      <c r="M29" s="25">
        <v>80000</v>
      </c>
      <c r="N29" s="27" t="str">
        <f t="shared" si="2"/>
        <v>ปิดทุน</v>
      </c>
      <c r="O29" s="24"/>
    </row>
    <row r="30" spans="1:19" ht="72">
      <c r="A30" s="16">
        <f t="shared" si="0"/>
        <v>27</v>
      </c>
      <c r="B30" s="23" t="s">
        <v>243</v>
      </c>
      <c r="C30" s="37" t="s">
        <v>33</v>
      </c>
      <c r="D30" s="35" t="s">
        <v>177</v>
      </c>
      <c r="E30" s="36" t="s">
        <v>178</v>
      </c>
      <c r="F30" s="22" t="s">
        <v>521</v>
      </c>
      <c r="G30" s="24" t="str">
        <f t="shared" si="3"/>
        <v>ทุนนักวิจัยทั่วไป</v>
      </c>
      <c r="H30" s="25">
        <v>47500</v>
      </c>
      <c r="I30" s="25">
        <v>47500</v>
      </c>
      <c r="J30" s="25"/>
      <c r="K30" s="25"/>
      <c r="L30" s="26">
        <f t="shared" si="1"/>
        <v>0</v>
      </c>
      <c r="M30" s="25">
        <v>95000</v>
      </c>
      <c r="N30" s="27" t="str">
        <f t="shared" si="2"/>
        <v>ปิดทุน</v>
      </c>
      <c r="O30" s="24"/>
    </row>
    <row r="31" spans="1:19" ht="84" customHeight="1">
      <c r="A31" s="16">
        <f t="shared" si="0"/>
        <v>28</v>
      </c>
      <c r="B31" s="23" t="s">
        <v>244</v>
      </c>
      <c r="C31" s="37" t="s">
        <v>9</v>
      </c>
      <c r="D31" s="35" t="s">
        <v>50</v>
      </c>
      <c r="E31" s="36" t="s">
        <v>175</v>
      </c>
      <c r="F31" s="22" t="s">
        <v>521</v>
      </c>
      <c r="G31" s="24" t="str">
        <f t="shared" si="3"/>
        <v>ทุนนักวิจัยทั่วไป</v>
      </c>
      <c r="H31" s="25">
        <v>47500</v>
      </c>
      <c r="I31" s="25">
        <v>47500</v>
      </c>
      <c r="J31" s="25"/>
      <c r="K31" s="25"/>
      <c r="L31" s="26">
        <f>I30+I31+J31-M31</f>
        <v>0</v>
      </c>
      <c r="M31" s="25">
        <v>95000</v>
      </c>
      <c r="N31" s="27" t="str">
        <f t="shared" si="2"/>
        <v>ปิดทุน</v>
      </c>
      <c r="O31" s="24"/>
    </row>
    <row r="32" spans="1:19" ht="117" customHeight="1">
      <c r="A32" s="16">
        <f t="shared" si="0"/>
        <v>29</v>
      </c>
      <c r="B32" s="23" t="s">
        <v>245</v>
      </c>
      <c r="C32" s="37" t="s">
        <v>13</v>
      </c>
      <c r="D32" s="35" t="s">
        <v>246</v>
      </c>
      <c r="E32" s="36" t="s">
        <v>247</v>
      </c>
      <c r="F32" s="22" t="s">
        <v>521</v>
      </c>
      <c r="G32" s="24" t="str">
        <f t="shared" si="3"/>
        <v>ทุนนักวิจัยทั่วไป</v>
      </c>
      <c r="H32" s="25">
        <v>40000</v>
      </c>
      <c r="I32" s="25">
        <v>40000</v>
      </c>
      <c r="J32" s="25"/>
      <c r="K32" s="25"/>
      <c r="L32" s="26">
        <f t="shared" si="1"/>
        <v>0</v>
      </c>
      <c r="M32" s="25">
        <v>80000</v>
      </c>
      <c r="N32" s="27" t="str">
        <f t="shared" si="2"/>
        <v>ปิดทุน</v>
      </c>
      <c r="O32" s="24"/>
    </row>
    <row r="33" spans="1:15" ht="72">
      <c r="A33" s="16">
        <f t="shared" si="0"/>
        <v>30</v>
      </c>
      <c r="B33" s="23" t="s">
        <v>248</v>
      </c>
      <c r="C33" s="37" t="s">
        <v>9</v>
      </c>
      <c r="D33" s="35" t="s">
        <v>249</v>
      </c>
      <c r="E33" s="36" t="s">
        <v>250</v>
      </c>
      <c r="F33" s="22" t="s">
        <v>521</v>
      </c>
      <c r="G33" s="24" t="str">
        <f t="shared" si="3"/>
        <v>ทุนนักวิจัยทั่วไป</v>
      </c>
      <c r="H33" s="25">
        <v>40000</v>
      </c>
      <c r="I33" s="25">
        <v>40000</v>
      </c>
      <c r="J33" s="25"/>
      <c r="K33" s="25"/>
      <c r="L33" s="26">
        <f t="shared" si="1"/>
        <v>0</v>
      </c>
      <c r="M33" s="25">
        <v>80000</v>
      </c>
      <c r="N33" s="27" t="str">
        <f t="shared" si="2"/>
        <v>ปิดทุน</v>
      </c>
      <c r="O33" s="24"/>
    </row>
    <row r="34" spans="1:15" ht="96">
      <c r="A34" s="16">
        <f t="shared" si="0"/>
        <v>31</v>
      </c>
      <c r="B34" s="23" t="s">
        <v>251</v>
      </c>
      <c r="C34" s="37" t="s">
        <v>9</v>
      </c>
      <c r="D34" s="35" t="s">
        <v>252</v>
      </c>
      <c r="E34" s="36" t="s">
        <v>253</v>
      </c>
      <c r="F34" s="22" t="s">
        <v>523</v>
      </c>
      <c r="G34" s="24" t="s">
        <v>96</v>
      </c>
      <c r="H34" s="25">
        <v>20000</v>
      </c>
      <c r="I34" s="25">
        <v>8000</v>
      </c>
      <c r="J34" s="25">
        <v>12000</v>
      </c>
      <c r="K34" s="25"/>
      <c r="L34" s="26">
        <f t="shared" si="1"/>
        <v>0</v>
      </c>
      <c r="M34" s="25">
        <v>40000</v>
      </c>
      <c r="N34" s="27" t="str">
        <f t="shared" si="2"/>
        <v>ปิดทุน</v>
      </c>
      <c r="O34" s="24" t="s">
        <v>1116</v>
      </c>
    </row>
    <row r="35" spans="1:15" ht="48">
      <c r="A35" s="16">
        <f t="shared" si="0"/>
        <v>32</v>
      </c>
      <c r="B35" s="23" t="s">
        <v>254</v>
      </c>
      <c r="C35" s="37" t="s">
        <v>33</v>
      </c>
      <c r="D35" s="35" t="s">
        <v>255</v>
      </c>
      <c r="E35" s="36" t="s">
        <v>256</v>
      </c>
      <c r="F35" s="22" t="s">
        <v>523</v>
      </c>
      <c r="G35" s="24" t="str">
        <f t="shared" si="3"/>
        <v>ทุนนักวิจัยรุ่นใหม่</v>
      </c>
      <c r="H35" s="25">
        <v>20000</v>
      </c>
      <c r="I35" s="25">
        <v>20000</v>
      </c>
      <c r="J35" s="25"/>
      <c r="K35" s="25"/>
      <c r="L35" s="26">
        <f t="shared" si="1"/>
        <v>0</v>
      </c>
      <c r="M35" s="25">
        <v>40000</v>
      </c>
      <c r="N35" s="27" t="str">
        <f t="shared" si="2"/>
        <v>ปิดทุน</v>
      </c>
      <c r="O35" s="24"/>
    </row>
    <row r="36" spans="1:15" ht="72">
      <c r="A36" s="16">
        <f t="shared" si="0"/>
        <v>33</v>
      </c>
      <c r="B36" s="23" t="s">
        <v>257</v>
      </c>
      <c r="C36" s="37" t="s">
        <v>33</v>
      </c>
      <c r="D36" s="35" t="s">
        <v>258</v>
      </c>
      <c r="E36" s="36" t="s">
        <v>259</v>
      </c>
      <c r="F36" s="22" t="s">
        <v>523</v>
      </c>
      <c r="G36" s="24" t="str">
        <f t="shared" si="3"/>
        <v>ทุนนักวิจัยรุ่นใหม่</v>
      </c>
      <c r="H36" s="25">
        <v>20000</v>
      </c>
      <c r="I36" s="25">
        <v>20000</v>
      </c>
      <c r="J36" s="25"/>
      <c r="K36" s="25"/>
      <c r="L36" s="26">
        <f t="shared" si="1"/>
        <v>0</v>
      </c>
      <c r="M36" s="25">
        <v>40000</v>
      </c>
      <c r="N36" s="27" t="str">
        <f t="shared" si="2"/>
        <v>ปิดทุน</v>
      </c>
      <c r="O36" s="24" t="s">
        <v>1117</v>
      </c>
    </row>
    <row r="37" spans="1:15" ht="120">
      <c r="A37" s="16">
        <f t="shared" si="0"/>
        <v>34</v>
      </c>
      <c r="B37" s="23" t="s">
        <v>260</v>
      </c>
      <c r="C37" s="37" t="s">
        <v>33</v>
      </c>
      <c r="D37" s="35" t="s">
        <v>261</v>
      </c>
      <c r="E37" s="36" t="s">
        <v>262</v>
      </c>
      <c r="F37" s="22" t="s">
        <v>521</v>
      </c>
      <c r="G37" s="24" t="str">
        <f t="shared" si="3"/>
        <v>ทุนนักวิจัยรุ่นใหม่</v>
      </c>
      <c r="H37" s="25">
        <v>20000</v>
      </c>
      <c r="I37" s="25">
        <v>20000</v>
      </c>
      <c r="J37" s="25"/>
      <c r="K37" s="25"/>
      <c r="L37" s="26">
        <f t="shared" si="1"/>
        <v>0</v>
      </c>
      <c r="M37" s="25">
        <v>40000</v>
      </c>
      <c r="N37" s="27" t="str">
        <f t="shared" si="2"/>
        <v>ปิดทุน</v>
      </c>
      <c r="O37" s="24"/>
    </row>
    <row r="38" spans="1:15" ht="61.5" customHeight="1">
      <c r="A38" s="16">
        <f t="shared" si="0"/>
        <v>35</v>
      </c>
      <c r="B38" s="23" t="s">
        <v>263</v>
      </c>
      <c r="C38" s="37" t="s">
        <v>114</v>
      </c>
      <c r="D38" s="35" t="s">
        <v>264</v>
      </c>
      <c r="E38" s="36" t="s">
        <v>265</v>
      </c>
      <c r="F38" s="22" t="s">
        <v>520</v>
      </c>
      <c r="G38" s="24" t="str">
        <f t="shared" si="3"/>
        <v>ทุนนักวิจัยรุ่นใหม่</v>
      </c>
      <c r="H38" s="25">
        <v>20000</v>
      </c>
      <c r="I38" s="25">
        <v>20000</v>
      </c>
      <c r="J38" s="25"/>
      <c r="K38" s="25"/>
      <c r="L38" s="26">
        <f t="shared" si="1"/>
        <v>0</v>
      </c>
      <c r="M38" s="25">
        <v>40000</v>
      </c>
      <c r="N38" s="27" t="str">
        <f t="shared" si="2"/>
        <v>ปิดทุน</v>
      </c>
      <c r="O38" s="24"/>
    </row>
    <row r="45" spans="1:15">
      <c r="B45" s="5"/>
    </row>
    <row r="46" spans="1:15">
      <c r="B46" s="5"/>
    </row>
    <row r="47" spans="1:15">
      <c r="B47" s="5"/>
    </row>
    <row r="48" spans="1:15">
      <c r="B48" s="5"/>
    </row>
    <row r="49" spans="2:2">
      <c r="B49" s="5"/>
    </row>
    <row r="50" spans="2:2">
      <c r="B50" s="5"/>
    </row>
    <row r="51" spans="2:2">
      <c r="B51" s="5"/>
    </row>
    <row r="52" spans="2:2">
      <c r="B52" s="5"/>
    </row>
    <row r="53" spans="2:2">
      <c r="B53" s="5"/>
    </row>
    <row r="54" spans="2:2">
      <c r="B54" s="5"/>
    </row>
    <row r="55" spans="2:2">
      <c r="B55" s="5"/>
    </row>
    <row r="56" spans="2:2">
      <c r="B56" s="5"/>
    </row>
    <row r="57" spans="2:2">
      <c r="B57" s="5"/>
    </row>
    <row r="58" spans="2:2">
      <c r="B58" s="5"/>
    </row>
    <row r="59" spans="2:2">
      <c r="B59" s="5"/>
    </row>
    <row r="60" spans="2:2">
      <c r="B60" s="5"/>
    </row>
    <row r="61" spans="2:2">
      <c r="B61" s="5"/>
    </row>
    <row r="62" spans="2:2">
      <c r="B62" s="5"/>
    </row>
    <row r="63" spans="2:2">
      <c r="B63" s="5"/>
    </row>
    <row r="64" spans="2:2">
      <c r="B64" s="5"/>
    </row>
    <row r="65" spans="2:11">
      <c r="B65" s="5"/>
    </row>
    <row r="66" spans="2:11">
      <c r="B66" s="5"/>
    </row>
    <row r="67" spans="2:11">
      <c r="B67" s="5"/>
    </row>
    <row r="68" spans="2:11">
      <c r="B68" s="5"/>
    </row>
    <row r="69" spans="2:11">
      <c r="B69" s="5"/>
    </row>
    <row r="70" spans="2:11">
      <c r="B70" s="5"/>
    </row>
    <row r="71" spans="2:11">
      <c r="B71" s="5"/>
    </row>
    <row r="72" spans="2:11">
      <c r="B72" s="5"/>
    </row>
    <row r="73" spans="2:11">
      <c r="B73" s="5"/>
    </row>
    <row r="74" spans="2:11">
      <c r="B74" s="5"/>
    </row>
    <row r="75" spans="2:11">
      <c r="B75" s="5"/>
    </row>
    <row r="76" spans="2:11">
      <c r="B76" s="5"/>
      <c r="H76" s="5"/>
      <c r="I76" s="5"/>
      <c r="J76" s="5"/>
      <c r="K76" s="5"/>
    </row>
    <row r="77" spans="2:11">
      <c r="B77" s="5"/>
      <c r="H77" s="5"/>
      <c r="I77" s="5"/>
      <c r="J77" s="5"/>
      <c r="K77" s="5"/>
    </row>
    <row r="78" spans="2:11">
      <c r="B78" s="5"/>
      <c r="H78" s="5"/>
      <c r="I78" s="5"/>
      <c r="J78" s="5"/>
      <c r="K78" s="5"/>
    </row>
    <row r="79" spans="2:11">
      <c r="B79" s="5"/>
      <c r="H79" s="5"/>
      <c r="I79" s="5"/>
      <c r="J79" s="5"/>
      <c r="K79" s="5"/>
    </row>
    <row r="80" spans="2:11">
      <c r="B80" s="5"/>
      <c r="H80" s="5"/>
      <c r="I80" s="5"/>
      <c r="J80" s="5"/>
      <c r="K80" s="5"/>
    </row>
    <row r="81" spans="2:11">
      <c r="B81" s="5"/>
      <c r="H81" s="5"/>
      <c r="I81" s="5"/>
      <c r="J81" s="5"/>
      <c r="K81" s="5"/>
    </row>
    <row r="82" spans="2:11">
      <c r="B82" s="5"/>
      <c r="H82" s="5"/>
      <c r="I82" s="5"/>
      <c r="J82" s="5"/>
      <c r="K82" s="5"/>
    </row>
    <row r="83" spans="2:11">
      <c r="B83" s="5"/>
      <c r="H83" s="5"/>
      <c r="I83" s="5"/>
      <c r="J83" s="5"/>
      <c r="K83" s="5"/>
    </row>
    <row r="84" spans="2:11">
      <c r="B84" s="5"/>
      <c r="H84" s="5"/>
      <c r="I84" s="5"/>
      <c r="J84" s="5"/>
      <c r="K84" s="5"/>
    </row>
    <row r="85" spans="2:11">
      <c r="B85" s="5"/>
      <c r="H85" s="5"/>
      <c r="I85" s="5"/>
      <c r="J85" s="5"/>
      <c r="K85" s="5"/>
    </row>
    <row r="86" spans="2:11">
      <c r="B86" s="5"/>
      <c r="H86" s="5"/>
      <c r="I86" s="5"/>
      <c r="J86" s="5"/>
      <c r="K86" s="5"/>
    </row>
    <row r="87" spans="2:11">
      <c r="B87" s="5"/>
      <c r="H87" s="5"/>
      <c r="I87" s="5"/>
      <c r="J87" s="5"/>
      <c r="K87" s="5"/>
    </row>
  </sheetData>
  <mergeCells count="9">
    <mergeCell ref="A1:O1"/>
    <mergeCell ref="N2:N3"/>
    <mergeCell ref="O2:O3"/>
    <mergeCell ref="H2:M2"/>
    <mergeCell ref="A2:A3"/>
    <mergeCell ref="B2:B3"/>
    <mergeCell ref="C2:E3"/>
    <mergeCell ref="F2:F3"/>
    <mergeCell ref="G2: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6699"/>
  </sheetPr>
  <dimension ref="A1:P85"/>
  <sheetViews>
    <sheetView zoomScale="60" zoomScaleNormal="60" workbookViewId="0">
      <selection activeCell="B53" sqref="B52:B53"/>
    </sheetView>
  </sheetViews>
  <sheetFormatPr defaultColWidth="9" defaultRowHeight="24"/>
  <cols>
    <col min="1" max="1" width="9" style="142"/>
    <col min="2" max="2" width="47" style="70" customWidth="1"/>
    <col min="3" max="3" width="10.109375" style="60" customWidth="1"/>
    <col min="4" max="4" width="16.6640625" style="60" customWidth="1"/>
    <col min="5" max="5" width="18.109375" style="60" customWidth="1"/>
    <col min="6" max="6" width="8.44140625" style="143" customWidth="1"/>
    <col min="7" max="7" width="24" style="143" customWidth="1"/>
    <col min="8" max="10" width="15.109375" style="68" bestFit="1" customWidth="1"/>
    <col min="11" max="11" width="15.109375" style="68" customWidth="1"/>
    <col min="12" max="12" width="17.109375" style="69" bestFit="1" customWidth="1"/>
    <col min="13" max="13" width="18.33203125" style="68" customWidth="1"/>
    <col min="14" max="14" width="9" style="57"/>
    <col min="15" max="15" width="30.44140625" style="60" customWidth="1"/>
    <col min="16" max="16384" width="9" style="60"/>
  </cols>
  <sheetData>
    <row r="1" spans="1:15" s="58" customFormat="1" ht="27">
      <c r="A1" s="412" t="s">
        <v>513</v>
      </c>
      <c r="B1" s="412"/>
      <c r="C1" s="412"/>
      <c r="D1" s="412"/>
      <c r="E1" s="412"/>
      <c r="F1" s="412"/>
      <c r="G1" s="412"/>
      <c r="H1" s="412"/>
      <c r="I1" s="412"/>
      <c r="J1" s="412"/>
      <c r="K1" s="412"/>
      <c r="L1" s="412"/>
      <c r="M1" s="412"/>
      <c r="N1" s="412"/>
      <c r="O1" s="412"/>
    </row>
    <row r="2" spans="1:15" s="58" customFormat="1">
      <c r="A2" s="416" t="s">
        <v>0</v>
      </c>
      <c r="B2" s="418" t="s">
        <v>1</v>
      </c>
      <c r="C2" s="420" t="s">
        <v>2</v>
      </c>
      <c r="D2" s="421"/>
      <c r="E2" s="422"/>
      <c r="F2" s="413" t="s">
        <v>4</v>
      </c>
      <c r="G2" s="413" t="s">
        <v>3</v>
      </c>
      <c r="H2" s="415" t="s">
        <v>6</v>
      </c>
      <c r="I2" s="415"/>
      <c r="J2" s="415"/>
      <c r="K2" s="415"/>
      <c r="L2" s="415"/>
      <c r="M2" s="415"/>
      <c r="N2" s="413" t="s">
        <v>11</v>
      </c>
      <c r="O2" s="413" t="s">
        <v>500</v>
      </c>
    </row>
    <row r="3" spans="1:15">
      <c r="A3" s="417"/>
      <c r="B3" s="419"/>
      <c r="C3" s="423"/>
      <c r="D3" s="424"/>
      <c r="E3" s="425"/>
      <c r="F3" s="414"/>
      <c r="G3" s="414"/>
      <c r="H3" s="59" t="s">
        <v>65</v>
      </c>
      <c r="I3" s="59" t="s">
        <v>66</v>
      </c>
      <c r="J3" s="59" t="s">
        <v>67</v>
      </c>
      <c r="K3" s="59" t="s">
        <v>396</v>
      </c>
      <c r="L3" s="59" t="s">
        <v>68</v>
      </c>
      <c r="M3" s="59" t="s">
        <v>6</v>
      </c>
      <c r="N3" s="414"/>
      <c r="O3" s="414"/>
    </row>
    <row r="4" spans="1:15" ht="72">
      <c r="A4" s="141">
        <f>ROW(A1)</f>
        <v>1</v>
      </c>
      <c r="B4" s="61" t="s">
        <v>266</v>
      </c>
      <c r="C4" s="62" t="s">
        <v>43</v>
      </c>
      <c r="D4" s="63" t="s">
        <v>44</v>
      </c>
      <c r="E4" s="64" t="s">
        <v>45</v>
      </c>
      <c r="F4" s="84" t="s">
        <v>519</v>
      </c>
      <c r="G4" s="84" t="s">
        <v>5</v>
      </c>
      <c r="H4" s="65">
        <v>35000</v>
      </c>
      <c r="I4" s="65">
        <v>35000</v>
      </c>
      <c r="J4" s="65"/>
      <c r="K4" s="65"/>
      <c r="L4" s="65">
        <f>H4+I4+J4-M4</f>
        <v>0</v>
      </c>
      <c r="M4" s="65">
        <v>70000</v>
      </c>
      <c r="N4" s="56" t="str">
        <f>IF(L4=0,"ปิดทุน",IF(L4&lt;0,"ยังไม่ปิดทุน","เกินทุน"))</f>
        <v>ปิดทุน</v>
      </c>
      <c r="O4" s="65"/>
    </row>
    <row r="5" spans="1:15">
      <c r="A5" s="141">
        <f t="shared" ref="A5:A37" si="0">ROW(A2)</f>
        <v>2</v>
      </c>
      <c r="B5" s="61" t="s">
        <v>267</v>
      </c>
      <c r="C5" s="66" t="s">
        <v>9</v>
      </c>
      <c r="D5" s="63" t="s">
        <v>47</v>
      </c>
      <c r="E5" s="64" t="s">
        <v>48</v>
      </c>
      <c r="F5" s="84" t="s">
        <v>519</v>
      </c>
      <c r="G5" s="84" t="s">
        <v>5</v>
      </c>
      <c r="H5" s="65">
        <v>35000</v>
      </c>
      <c r="I5" s="65">
        <v>35000</v>
      </c>
      <c r="J5" s="65"/>
      <c r="K5" s="65"/>
      <c r="L5" s="65">
        <f t="shared" ref="L5:L37" si="1">H5+I5+J5-M5</f>
        <v>0</v>
      </c>
      <c r="M5" s="65">
        <v>70000</v>
      </c>
      <c r="N5" s="56" t="str">
        <f t="shared" ref="N5:N37" si="2">IF(L5=0,"ปิดทุน",IF(L5&lt;0,"ยังไม่ปิดทุน","เกินทุน"))</f>
        <v>ปิดทุน</v>
      </c>
      <c r="O5" s="65"/>
    </row>
    <row r="6" spans="1:15" ht="48">
      <c r="A6" s="141">
        <f t="shared" si="0"/>
        <v>3</v>
      </c>
      <c r="B6" s="61" t="s">
        <v>268</v>
      </c>
      <c r="C6" s="66" t="s">
        <v>33</v>
      </c>
      <c r="D6" s="63" t="s">
        <v>202</v>
      </c>
      <c r="E6" s="64" t="s">
        <v>203</v>
      </c>
      <c r="F6" s="84" t="s">
        <v>519</v>
      </c>
      <c r="G6" s="84" t="s">
        <v>5</v>
      </c>
      <c r="H6" s="65">
        <v>35000</v>
      </c>
      <c r="I6" s="65">
        <v>35000</v>
      </c>
      <c r="J6" s="65"/>
      <c r="K6" s="65"/>
      <c r="L6" s="65">
        <f t="shared" si="1"/>
        <v>0</v>
      </c>
      <c r="M6" s="65">
        <v>70000</v>
      </c>
      <c r="N6" s="56" t="str">
        <f t="shared" si="2"/>
        <v>ปิดทุน</v>
      </c>
      <c r="O6" s="65"/>
    </row>
    <row r="7" spans="1:15" ht="72">
      <c r="A7" s="141">
        <f t="shared" si="0"/>
        <v>4</v>
      </c>
      <c r="B7" s="61" t="s">
        <v>269</v>
      </c>
      <c r="C7" s="66" t="s">
        <v>33</v>
      </c>
      <c r="D7" s="63" t="s">
        <v>270</v>
      </c>
      <c r="E7" s="64" t="s">
        <v>271</v>
      </c>
      <c r="F7" s="84" t="s">
        <v>519</v>
      </c>
      <c r="G7" s="84" t="s">
        <v>5</v>
      </c>
      <c r="H7" s="65">
        <v>35000</v>
      </c>
      <c r="I7" s="65">
        <v>35000</v>
      </c>
      <c r="J7" s="65"/>
      <c r="K7" s="65"/>
      <c r="L7" s="65">
        <f t="shared" si="1"/>
        <v>0</v>
      </c>
      <c r="M7" s="65">
        <v>70000</v>
      </c>
      <c r="N7" s="56" t="str">
        <f t="shared" si="2"/>
        <v>ปิดทุน</v>
      </c>
      <c r="O7" s="65"/>
    </row>
    <row r="8" spans="1:15" ht="72">
      <c r="A8" s="141">
        <f t="shared" si="0"/>
        <v>5</v>
      </c>
      <c r="B8" s="61" t="s">
        <v>272</v>
      </c>
      <c r="C8" s="66" t="s">
        <v>33</v>
      </c>
      <c r="D8" s="63" t="s">
        <v>30</v>
      </c>
      <c r="E8" s="64" t="s">
        <v>31</v>
      </c>
      <c r="F8" s="84" t="s">
        <v>519</v>
      </c>
      <c r="G8" s="84" t="s">
        <v>5</v>
      </c>
      <c r="H8" s="65">
        <v>35000</v>
      </c>
      <c r="I8" s="65">
        <v>35000</v>
      </c>
      <c r="J8" s="65"/>
      <c r="K8" s="65"/>
      <c r="L8" s="65">
        <f t="shared" si="1"/>
        <v>0</v>
      </c>
      <c r="M8" s="65">
        <v>70000</v>
      </c>
      <c r="N8" s="56" t="str">
        <f t="shared" si="2"/>
        <v>ปิดทุน</v>
      </c>
      <c r="O8" s="65"/>
    </row>
    <row r="9" spans="1:15" ht="72">
      <c r="A9" s="141">
        <f t="shared" si="0"/>
        <v>6</v>
      </c>
      <c r="B9" s="61" t="s">
        <v>273</v>
      </c>
      <c r="C9" s="66" t="s">
        <v>9</v>
      </c>
      <c r="D9" s="63" t="s">
        <v>24</v>
      </c>
      <c r="E9" s="64" t="s">
        <v>25</v>
      </c>
      <c r="F9" s="84" t="s">
        <v>519</v>
      </c>
      <c r="G9" s="84" t="s">
        <v>5</v>
      </c>
      <c r="H9" s="65">
        <v>35000</v>
      </c>
      <c r="I9" s="65">
        <v>35000</v>
      </c>
      <c r="J9" s="65"/>
      <c r="K9" s="65"/>
      <c r="L9" s="65">
        <f t="shared" si="1"/>
        <v>0</v>
      </c>
      <c r="M9" s="65">
        <v>70000</v>
      </c>
      <c r="N9" s="56" t="str">
        <f t="shared" si="2"/>
        <v>ปิดทุน</v>
      </c>
      <c r="O9" s="65"/>
    </row>
    <row r="10" spans="1:15" ht="72">
      <c r="A10" s="141">
        <f t="shared" si="0"/>
        <v>7</v>
      </c>
      <c r="B10" s="61" t="s">
        <v>274</v>
      </c>
      <c r="C10" s="66" t="s">
        <v>33</v>
      </c>
      <c r="D10" s="63" t="s">
        <v>200</v>
      </c>
      <c r="E10" s="64" t="s">
        <v>201</v>
      </c>
      <c r="F10" s="84" t="s">
        <v>519</v>
      </c>
      <c r="G10" s="84" t="s">
        <v>5</v>
      </c>
      <c r="H10" s="65">
        <v>35000</v>
      </c>
      <c r="I10" s="65">
        <v>35000</v>
      </c>
      <c r="J10" s="65"/>
      <c r="K10" s="65"/>
      <c r="L10" s="65">
        <f t="shared" si="1"/>
        <v>0</v>
      </c>
      <c r="M10" s="65">
        <v>70000</v>
      </c>
      <c r="N10" s="56" t="str">
        <f t="shared" si="2"/>
        <v>ปิดทุน</v>
      </c>
      <c r="O10" s="65"/>
    </row>
    <row r="11" spans="1:15" ht="48">
      <c r="A11" s="141">
        <f t="shared" si="0"/>
        <v>8</v>
      </c>
      <c r="B11" s="61" t="s">
        <v>275</v>
      </c>
      <c r="C11" s="66" t="s">
        <v>9</v>
      </c>
      <c r="D11" s="63" t="s">
        <v>190</v>
      </c>
      <c r="E11" s="64" t="s">
        <v>191</v>
      </c>
      <c r="F11" s="22" t="s">
        <v>525</v>
      </c>
      <c r="G11" s="84" t="s">
        <v>5</v>
      </c>
      <c r="H11" s="65">
        <v>35000</v>
      </c>
      <c r="I11" s="65">
        <v>35000</v>
      </c>
      <c r="J11" s="65"/>
      <c r="K11" s="65"/>
      <c r="L11" s="65">
        <f t="shared" si="1"/>
        <v>0</v>
      </c>
      <c r="M11" s="65">
        <v>70000</v>
      </c>
      <c r="N11" s="56" t="str">
        <f t="shared" si="2"/>
        <v>ปิดทุน</v>
      </c>
      <c r="O11" s="65"/>
    </row>
    <row r="12" spans="1:15" ht="72">
      <c r="A12" s="141">
        <f t="shared" si="0"/>
        <v>9</v>
      </c>
      <c r="B12" s="61" t="s">
        <v>276</v>
      </c>
      <c r="C12" s="66" t="s">
        <v>9</v>
      </c>
      <c r="D12" s="63" t="s">
        <v>62</v>
      </c>
      <c r="E12" s="64" t="s">
        <v>63</v>
      </c>
      <c r="F12" s="22" t="s">
        <v>523</v>
      </c>
      <c r="G12" s="84" t="s">
        <v>5</v>
      </c>
      <c r="H12" s="65">
        <v>43500</v>
      </c>
      <c r="I12" s="65">
        <v>43500</v>
      </c>
      <c r="J12" s="65"/>
      <c r="K12" s="65"/>
      <c r="L12" s="65">
        <f t="shared" si="1"/>
        <v>0</v>
      </c>
      <c r="M12" s="65">
        <v>87000</v>
      </c>
      <c r="N12" s="56" t="str">
        <f t="shared" si="2"/>
        <v>ปิดทุน</v>
      </c>
      <c r="O12" s="65"/>
    </row>
    <row r="13" spans="1:15" ht="96">
      <c r="A13" s="141">
        <f t="shared" si="0"/>
        <v>10</v>
      </c>
      <c r="B13" s="61" t="s">
        <v>277</v>
      </c>
      <c r="C13" s="66" t="s">
        <v>58</v>
      </c>
      <c r="D13" s="63" t="s">
        <v>59</v>
      </c>
      <c r="E13" s="64" t="s">
        <v>60</v>
      </c>
      <c r="F13" s="84" t="s">
        <v>520</v>
      </c>
      <c r="G13" s="84" t="s">
        <v>5</v>
      </c>
      <c r="H13" s="65">
        <v>43500</v>
      </c>
      <c r="I13" s="65">
        <v>43500</v>
      </c>
      <c r="J13" s="65"/>
      <c r="K13" s="65"/>
      <c r="L13" s="65">
        <f t="shared" si="1"/>
        <v>0</v>
      </c>
      <c r="M13" s="65">
        <v>87000</v>
      </c>
      <c r="N13" s="56" t="str">
        <f t="shared" si="2"/>
        <v>ปิดทุน</v>
      </c>
      <c r="O13" s="65"/>
    </row>
    <row r="14" spans="1:15" ht="72">
      <c r="A14" s="141">
        <f t="shared" si="0"/>
        <v>11</v>
      </c>
      <c r="B14" s="61" t="s">
        <v>278</v>
      </c>
      <c r="C14" s="66" t="s">
        <v>33</v>
      </c>
      <c r="D14" s="63" t="s">
        <v>180</v>
      </c>
      <c r="E14" s="64" t="s">
        <v>181</v>
      </c>
      <c r="F14" s="22" t="s">
        <v>523</v>
      </c>
      <c r="G14" s="84" t="s">
        <v>5</v>
      </c>
      <c r="H14" s="65">
        <v>43500</v>
      </c>
      <c r="I14" s="65">
        <v>43500</v>
      </c>
      <c r="J14" s="65"/>
      <c r="K14" s="65"/>
      <c r="L14" s="65">
        <f t="shared" si="1"/>
        <v>0</v>
      </c>
      <c r="M14" s="65">
        <v>87000</v>
      </c>
      <c r="N14" s="56" t="str">
        <f t="shared" si="2"/>
        <v>ปิดทุน</v>
      </c>
      <c r="O14" s="65"/>
    </row>
    <row r="15" spans="1:15" ht="96">
      <c r="A15" s="141">
        <f t="shared" si="0"/>
        <v>12</v>
      </c>
      <c r="B15" s="61" t="s">
        <v>279</v>
      </c>
      <c r="C15" s="66" t="s">
        <v>33</v>
      </c>
      <c r="D15" s="63" t="s">
        <v>183</v>
      </c>
      <c r="E15" s="64" t="s">
        <v>184</v>
      </c>
      <c r="F15" s="22" t="s">
        <v>523</v>
      </c>
      <c r="G15" s="84" t="s">
        <v>5</v>
      </c>
      <c r="H15" s="65">
        <v>43500</v>
      </c>
      <c r="I15" s="65">
        <v>43500</v>
      </c>
      <c r="J15" s="65"/>
      <c r="K15" s="65"/>
      <c r="L15" s="65">
        <f t="shared" si="1"/>
        <v>0</v>
      </c>
      <c r="M15" s="65">
        <v>87000</v>
      </c>
      <c r="N15" s="56" t="str">
        <f t="shared" si="2"/>
        <v>ปิดทุน</v>
      </c>
      <c r="O15" s="65"/>
    </row>
    <row r="16" spans="1:15" ht="72">
      <c r="A16" s="141">
        <f t="shared" si="0"/>
        <v>13</v>
      </c>
      <c r="B16" s="61" t="s">
        <v>280</v>
      </c>
      <c r="C16" s="66" t="s">
        <v>9</v>
      </c>
      <c r="D16" s="63" t="s">
        <v>186</v>
      </c>
      <c r="E16" s="64" t="s">
        <v>187</v>
      </c>
      <c r="F16" s="22" t="s">
        <v>523</v>
      </c>
      <c r="G16" s="84" t="s">
        <v>5</v>
      </c>
      <c r="H16" s="65">
        <v>43500</v>
      </c>
      <c r="I16" s="65">
        <v>43500</v>
      </c>
      <c r="J16" s="65"/>
      <c r="K16" s="65"/>
      <c r="L16" s="65">
        <f t="shared" si="1"/>
        <v>0</v>
      </c>
      <c r="M16" s="65">
        <v>87000</v>
      </c>
      <c r="N16" s="56" t="str">
        <f t="shared" si="2"/>
        <v>ปิดทุน</v>
      </c>
      <c r="O16" s="65"/>
    </row>
    <row r="17" spans="1:16" ht="72">
      <c r="A17" s="141">
        <f t="shared" si="0"/>
        <v>14</v>
      </c>
      <c r="B17" s="61" t="s">
        <v>281</v>
      </c>
      <c r="C17" s="66" t="s">
        <v>33</v>
      </c>
      <c r="D17" s="63" t="s">
        <v>282</v>
      </c>
      <c r="E17" s="64" t="s">
        <v>283</v>
      </c>
      <c r="F17" s="22" t="s">
        <v>523</v>
      </c>
      <c r="G17" s="84" t="s">
        <v>5</v>
      </c>
      <c r="H17" s="65">
        <v>43500</v>
      </c>
      <c r="I17" s="65">
        <v>43500</v>
      </c>
      <c r="J17" s="65"/>
      <c r="K17" s="65"/>
      <c r="L17" s="65">
        <f t="shared" si="1"/>
        <v>0</v>
      </c>
      <c r="M17" s="65">
        <v>87000</v>
      </c>
      <c r="N17" s="56" t="str">
        <f t="shared" si="2"/>
        <v>ปิดทุน</v>
      </c>
      <c r="O17" s="65"/>
      <c r="P17" s="60" t="s">
        <v>638</v>
      </c>
    </row>
    <row r="18" spans="1:16" ht="72">
      <c r="A18" s="141">
        <f t="shared" si="0"/>
        <v>15</v>
      </c>
      <c r="B18" s="61" t="s">
        <v>284</v>
      </c>
      <c r="C18" s="66" t="s">
        <v>168</v>
      </c>
      <c r="D18" s="63" t="s">
        <v>285</v>
      </c>
      <c r="E18" s="64" t="s">
        <v>286</v>
      </c>
      <c r="F18" s="84" t="s">
        <v>526</v>
      </c>
      <c r="G18" s="84" t="s">
        <v>5</v>
      </c>
      <c r="H18" s="65">
        <v>43500</v>
      </c>
      <c r="I18" s="65">
        <v>43500</v>
      </c>
      <c r="J18" s="65"/>
      <c r="K18" s="65"/>
      <c r="L18" s="65">
        <f t="shared" si="1"/>
        <v>0</v>
      </c>
      <c r="M18" s="65">
        <v>87000</v>
      </c>
      <c r="N18" s="56" t="str">
        <f t="shared" si="2"/>
        <v>ปิดทุน</v>
      </c>
      <c r="O18" s="65"/>
    </row>
    <row r="19" spans="1:16" ht="96">
      <c r="A19" s="141">
        <f t="shared" si="0"/>
        <v>16</v>
      </c>
      <c r="B19" s="61" t="s">
        <v>287</v>
      </c>
      <c r="C19" s="66" t="s">
        <v>9</v>
      </c>
      <c r="D19" s="63" t="s">
        <v>81</v>
      </c>
      <c r="E19" s="64" t="s">
        <v>82</v>
      </c>
      <c r="F19" s="84" t="s">
        <v>526</v>
      </c>
      <c r="G19" s="84" t="s">
        <v>5</v>
      </c>
      <c r="H19" s="65">
        <v>43500</v>
      </c>
      <c r="I19" s="65">
        <v>17400</v>
      </c>
      <c r="J19" s="65">
        <v>26100</v>
      </c>
      <c r="K19" s="65"/>
      <c r="L19" s="65">
        <f t="shared" si="1"/>
        <v>0</v>
      </c>
      <c r="M19" s="65">
        <v>87000</v>
      </c>
      <c r="N19" s="56" t="str">
        <f t="shared" si="2"/>
        <v>ปิดทุน</v>
      </c>
      <c r="O19" s="65"/>
    </row>
    <row r="20" spans="1:16" ht="96">
      <c r="A20" s="141">
        <f t="shared" si="0"/>
        <v>17</v>
      </c>
      <c r="B20" s="61" t="s">
        <v>288</v>
      </c>
      <c r="C20" s="66" t="s">
        <v>33</v>
      </c>
      <c r="D20" s="63" t="s">
        <v>152</v>
      </c>
      <c r="E20" s="64" t="s">
        <v>15</v>
      </c>
      <c r="F20" s="84" t="s">
        <v>524</v>
      </c>
      <c r="G20" s="84" t="s">
        <v>5</v>
      </c>
      <c r="H20" s="65">
        <v>35000</v>
      </c>
      <c r="I20" s="65">
        <v>35000</v>
      </c>
      <c r="J20" s="65"/>
      <c r="K20" s="65"/>
      <c r="L20" s="65">
        <f t="shared" si="1"/>
        <v>0</v>
      </c>
      <c r="M20" s="65">
        <v>70000</v>
      </c>
      <c r="N20" s="56" t="str">
        <f t="shared" si="2"/>
        <v>ปิดทุน</v>
      </c>
      <c r="O20" s="65"/>
    </row>
    <row r="21" spans="1:16" ht="96">
      <c r="A21" s="141">
        <f t="shared" si="0"/>
        <v>18</v>
      </c>
      <c r="B21" s="61" t="s">
        <v>289</v>
      </c>
      <c r="C21" s="66" t="s">
        <v>13</v>
      </c>
      <c r="D21" s="63" t="s">
        <v>14</v>
      </c>
      <c r="E21" s="64" t="s">
        <v>15</v>
      </c>
      <c r="F21" s="84" t="s">
        <v>524</v>
      </c>
      <c r="G21" s="84" t="s">
        <v>5</v>
      </c>
      <c r="H21" s="65">
        <v>35000</v>
      </c>
      <c r="I21" s="65">
        <v>35000</v>
      </c>
      <c r="J21" s="65"/>
      <c r="K21" s="65"/>
      <c r="L21" s="65">
        <f t="shared" si="1"/>
        <v>0</v>
      </c>
      <c r="M21" s="65">
        <v>70000</v>
      </c>
      <c r="N21" s="56" t="str">
        <f t="shared" si="2"/>
        <v>ปิดทุน</v>
      </c>
      <c r="O21" s="65"/>
    </row>
    <row r="22" spans="1:16" ht="96">
      <c r="A22" s="141">
        <f t="shared" si="0"/>
        <v>19</v>
      </c>
      <c r="B22" s="61" t="s">
        <v>290</v>
      </c>
      <c r="C22" s="66" t="s">
        <v>9</v>
      </c>
      <c r="D22" s="63" t="s">
        <v>8</v>
      </c>
      <c r="E22" s="64" t="s">
        <v>10</v>
      </c>
      <c r="F22" s="84" t="s">
        <v>524</v>
      </c>
      <c r="G22" s="84" t="s">
        <v>5</v>
      </c>
      <c r="H22" s="65">
        <v>35000</v>
      </c>
      <c r="I22" s="65">
        <v>14000</v>
      </c>
      <c r="J22" s="65">
        <v>21000</v>
      </c>
      <c r="K22" s="65"/>
      <c r="L22" s="65">
        <f t="shared" si="1"/>
        <v>0</v>
      </c>
      <c r="M22" s="65">
        <v>70000</v>
      </c>
      <c r="N22" s="56" t="str">
        <f t="shared" si="2"/>
        <v>ปิดทุน</v>
      </c>
      <c r="O22" s="65"/>
    </row>
    <row r="23" spans="1:16" ht="72">
      <c r="A23" s="141">
        <f t="shared" si="0"/>
        <v>20</v>
      </c>
      <c r="B23" s="61" t="s">
        <v>291</v>
      </c>
      <c r="C23" s="66" t="s">
        <v>9</v>
      </c>
      <c r="D23" s="63" t="s">
        <v>17</v>
      </c>
      <c r="E23" s="64" t="s">
        <v>18</v>
      </c>
      <c r="F23" s="84" t="s">
        <v>524</v>
      </c>
      <c r="G23" s="84" t="s">
        <v>5</v>
      </c>
      <c r="H23" s="65">
        <v>35000</v>
      </c>
      <c r="I23" s="65">
        <v>35000</v>
      </c>
      <c r="J23" s="65"/>
      <c r="K23" s="65"/>
      <c r="L23" s="65">
        <f t="shared" si="1"/>
        <v>0</v>
      </c>
      <c r="M23" s="65">
        <v>70000</v>
      </c>
      <c r="N23" s="56" t="str">
        <f t="shared" si="2"/>
        <v>ปิดทุน</v>
      </c>
      <c r="O23" s="65"/>
    </row>
    <row r="24" spans="1:16" ht="120">
      <c r="A24" s="141">
        <f t="shared" si="0"/>
        <v>21</v>
      </c>
      <c r="B24" s="61" t="s">
        <v>292</v>
      </c>
      <c r="C24" s="66" t="s">
        <v>20</v>
      </c>
      <c r="D24" s="63" t="s">
        <v>293</v>
      </c>
      <c r="E24" s="64" t="s">
        <v>294</v>
      </c>
      <c r="F24" s="84" t="s">
        <v>521</v>
      </c>
      <c r="G24" s="84" t="s">
        <v>5</v>
      </c>
      <c r="H24" s="65">
        <v>43500</v>
      </c>
      <c r="I24" s="65">
        <v>17400</v>
      </c>
      <c r="J24" s="65">
        <v>26100</v>
      </c>
      <c r="K24" s="65"/>
      <c r="L24" s="65">
        <f t="shared" si="1"/>
        <v>0</v>
      </c>
      <c r="M24" s="65">
        <v>87000</v>
      </c>
      <c r="N24" s="56" t="str">
        <f t="shared" si="2"/>
        <v>ปิดทุน</v>
      </c>
      <c r="O24" s="65"/>
    </row>
    <row r="25" spans="1:16" ht="72">
      <c r="A25" s="141">
        <f t="shared" si="0"/>
        <v>22</v>
      </c>
      <c r="B25" s="61" t="s">
        <v>295</v>
      </c>
      <c r="C25" s="66" t="s">
        <v>9</v>
      </c>
      <c r="D25" s="63" t="s">
        <v>50</v>
      </c>
      <c r="E25" s="64" t="s">
        <v>175</v>
      </c>
      <c r="F25" s="84" t="s">
        <v>521</v>
      </c>
      <c r="G25" s="84" t="s">
        <v>5</v>
      </c>
      <c r="H25" s="65">
        <v>43500</v>
      </c>
      <c r="I25" s="65">
        <v>43500</v>
      </c>
      <c r="J25" s="65"/>
      <c r="K25" s="65"/>
      <c r="L25" s="65">
        <f t="shared" si="1"/>
        <v>0</v>
      </c>
      <c r="M25" s="65">
        <v>87000</v>
      </c>
      <c r="N25" s="56" t="str">
        <f t="shared" si="2"/>
        <v>ปิดทุน</v>
      </c>
      <c r="O25" s="65"/>
    </row>
    <row r="26" spans="1:16" ht="96">
      <c r="A26" s="141">
        <f t="shared" si="0"/>
        <v>23</v>
      </c>
      <c r="B26" s="61" t="s">
        <v>296</v>
      </c>
      <c r="C26" s="66" t="s">
        <v>168</v>
      </c>
      <c r="D26" s="63" t="s">
        <v>169</v>
      </c>
      <c r="E26" s="64" t="s">
        <v>170</v>
      </c>
      <c r="F26" s="84" t="s">
        <v>521</v>
      </c>
      <c r="G26" s="84" t="s">
        <v>5</v>
      </c>
      <c r="H26" s="65">
        <v>43500</v>
      </c>
      <c r="I26" s="65">
        <v>43500</v>
      </c>
      <c r="J26" s="65"/>
      <c r="K26" s="65"/>
      <c r="L26" s="65">
        <f t="shared" si="1"/>
        <v>0</v>
      </c>
      <c r="M26" s="65">
        <v>87000</v>
      </c>
      <c r="N26" s="56" t="str">
        <f t="shared" si="2"/>
        <v>ปิดทุน</v>
      </c>
      <c r="O26" s="65"/>
    </row>
    <row r="27" spans="1:16" ht="72">
      <c r="A27" s="141">
        <f t="shared" si="0"/>
        <v>24</v>
      </c>
      <c r="B27" s="61" t="s">
        <v>297</v>
      </c>
      <c r="C27" s="66" t="s">
        <v>33</v>
      </c>
      <c r="D27" s="63" t="s">
        <v>261</v>
      </c>
      <c r="E27" s="64" t="s">
        <v>262</v>
      </c>
      <c r="F27" s="84" t="s">
        <v>521</v>
      </c>
      <c r="G27" s="84" t="s">
        <v>5</v>
      </c>
      <c r="H27" s="65">
        <v>43500</v>
      </c>
      <c r="I27" s="65">
        <v>43500</v>
      </c>
      <c r="J27" s="65"/>
      <c r="K27" s="65"/>
      <c r="L27" s="65">
        <f t="shared" si="1"/>
        <v>0</v>
      </c>
      <c r="M27" s="65">
        <v>87000</v>
      </c>
      <c r="N27" s="56" t="str">
        <f t="shared" si="2"/>
        <v>ปิดทุน</v>
      </c>
      <c r="O27" s="65" t="s">
        <v>1111</v>
      </c>
      <c r="P27" s="60" t="s">
        <v>1110</v>
      </c>
    </row>
    <row r="28" spans="1:16" ht="72">
      <c r="A28" s="141">
        <f t="shared" si="0"/>
        <v>25</v>
      </c>
      <c r="B28" s="61" t="s">
        <v>298</v>
      </c>
      <c r="C28" s="66" t="s">
        <v>33</v>
      </c>
      <c r="D28" s="63" t="s">
        <v>299</v>
      </c>
      <c r="E28" s="64" t="s">
        <v>300</v>
      </c>
      <c r="F28" s="84" t="s">
        <v>522</v>
      </c>
      <c r="G28" s="84" t="s">
        <v>5</v>
      </c>
      <c r="H28" s="65">
        <v>43500</v>
      </c>
      <c r="I28" s="65">
        <v>43500</v>
      </c>
      <c r="J28" s="65"/>
      <c r="K28" s="65"/>
      <c r="L28" s="65">
        <f t="shared" si="1"/>
        <v>0</v>
      </c>
      <c r="M28" s="65">
        <v>87000</v>
      </c>
      <c r="N28" s="56" t="str">
        <f t="shared" si="2"/>
        <v>ปิดทุน</v>
      </c>
      <c r="O28" s="65"/>
    </row>
    <row r="29" spans="1:16" ht="72">
      <c r="A29" s="141">
        <f t="shared" si="0"/>
        <v>26</v>
      </c>
      <c r="B29" s="61" t="s">
        <v>301</v>
      </c>
      <c r="C29" s="66" t="s">
        <v>33</v>
      </c>
      <c r="D29" s="63" t="s">
        <v>302</v>
      </c>
      <c r="E29" s="64" t="s">
        <v>303</v>
      </c>
      <c r="F29" s="84" t="s">
        <v>522</v>
      </c>
      <c r="G29" s="84" t="s">
        <v>5</v>
      </c>
      <c r="H29" s="65">
        <v>43500</v>
      </c>
      <c r="I29" s="65">
        <v>43500</v>
      </c>
      <c r="J29" s="65"/>
      <c r="K29" s="65"/>
      <c r="L29" s="65">
        <f t="shared" si="1"/>
        <v>0</v>
      </c>
      <c r="M29" s="65">
        <v>87000</v>
      </c>
      <c r="N29" s="56" t="str">
        <f t="shared" si="2"/>
        <v>ปิดทุน</v>
      </c>
      <c r="O29" s="65"/>
    </row>
    <row r="30" spans="1:16" ht="72">
      <c r="A30" s="141">
        <f t="shared" si="0"/>
        <v>27</v>
      </c>
      <c r="B30" s="61" t="s">
        <v>304</v>
      </c>
      <c r="C30" s="66" t="s">
        <v>43</v>
      </c>
      <c r="D30" s="63" t="s">
        <v>106</v>
      </c>
      <c r="E30" s="64" t="s">
        <v>305</v>
      </c>
      <c r="F30" s="84" t="s">
        <v>522</v>
      </c>
      <c r="G30" s="84" t="s">
        <v>5</v>
      </c>
      <c r="H30" s="65">
        <v>43500</v>
      </c>
      <c r="I30" s="65">
        <v>43500</v>
      </c>
      <c r="J30" s="65"/>
      <c r="K30" s="65"/>
      <c r="L30" s="65">
        <f t="shared" si="1"/>
        <v>0</v>
      </c>
      <c r="M30" s="65">
        <v>87000</v>
      </c>
      <c r="N30" s="56" t="str">
        <f t="shared" si="2"/>
        <v>ปิดทุน</v>
      </c>
      <c r="O30" s="65"/>
    </row>
    <row r="31" spans="1:16" ht="72">
      <c r="A31" s="141">
        <f t="shared" si="0"/>
        <v>28</v>
      </c>
      <c r="B31" s="61" t="s">
        <v>306</v>
      </c>
      <c r="C31" s="66" t="s">
        <v>33</v>
      </c>
      <c r="D31" s="63" t="s">
        <v>307</v>
      </c>
      <c r="E31" s="64" t="s">
        <v>308</v>
      </c>
      <c r="F31" s="84" t="s">
        <v>522</v>
      </c>
      <c r="G31" s="84" t="s">
        <v>5</v>
      </c>
      <c r="H31" s="65">
        <v>43500</v>
      </c>
      <c r="I31" s="65">
        <v>43500</v>
      </c>
      <c r="J31" s="65"/>
      <c r="K31" s="65"/>
      <c r="L31" s="65">
        <f t="shared" si="1"/>
        <v>0</v>
      </c>
      <c r="M31" s="65">
        <v>87000</v>
      </c>
      <c r="N31" s="56" t="str">
        <f t="shared" si="2"/>
        <v>ปิดทุน</v>
      </c>
      <c r="O31" s="65"/>
    </row>
    <row r="32" spans="1:16" ht="96">
      <c r="A32" s="141">
        <f t="shared" si="0"/>
        <v>29</v>
      </c>
      <c r="B32" s="61" t="s">
        <v>1136</v>
      </c>
      <c r="C32" s="66" t="s">
        <v>33</v>
      </c>
      <c r="D32" s="63" t="s">
        <v>309</v>
      </c>
      <c r="E32" s="64" t="s">
        <v>310</v>
      </c>
      <c r="F32" s="84" t="s">
        <v>522</v>
      </c>
      <c r="G32" s="84" t="s">
        <v>5</v>
      </c>
      <c r="H32" s="65">
        <v>43500</v>
      </c>
      <c r="I32" s="65">
        <v>43500</v>
      </c>
      <c r="J32" s="65"/>
      <c r="K32" s="65"/>
      <c r="L32" s="190">
        <f t="shared" si="1"/>
        <v>0</v>
      </c>
      <c r="M32" s="65">
        <v>87000</v>
      </c>
      <c r="N32" s="56" t="str">
        <f t="shared" si="2"/>
        <v>ปิดทุน</v>
      </c>
      <c r="O32" s="65" t="s">
        <v>1141</v>
      </c>
      <c r="P32" s="60" t="s">
        <v>1137</v>
      </c>
    </row>
    <row r="33" spans="1:15" ht="48">
      <c r="A33" s="141">
        <f t="shared" si="0"/>
        <v>30</v>
      </c>
      <c r="B33" s="61" t="s">
        <v>311</v>
      </c>
      <c r="C33" s="66" t="s">
        <v>13</v>
      </c>
      <c r="D33" s="63" t="s">
        <v>312</v>
      </c>
      <c r="E33" s="64" t="s">
        <v>313</v>
      </c>
      <c r="F33" s="84" t="s">
        <v>522</v>
      </c>
      <c r="G33" s="84" t="s">
        <v>5</v>
      </c>
      <c r="H33" s="65">
        <v>43500</v>
      </c>
      <c r="I33" s="65">
        <v>43500</v>
      </c>
      <c r="J33" s="65"/>
      <c r="K33" s="65"/>
      <c r="L33" s="65">
        <f t="shared" si="1"/>
        <v>0</v>
      </c>
      <c r="M33" s="65">
        <v>87000</v>
      </c>
      <c r="N33" s="56" t="str">
        <f t="shared" si="2"/>
        <v>ปิดทุน</v>
      </c>
      <c r="O33" s="65"/>
    </row>
    <row r="34" spans="1:15" ht="72">
      <c r="A34" s="141">
        <f t="shared" si="0"/>
        <v>31</v>
      </c>
      <c r="B34" s="61" t="s">
        <v>314</v>
      </c>
      <c r="C34" s="66" t="s">
        <v>58</v>
      </c>
      <c r="D34" s="63" t="s">
        <v>315</v>
      </c>
      <c r="E34" s="64" t="s">
        <v>316</v>
      </c>
      <c r="F34" s="84" t="s">
        <v>522</v>
      </c>
      <c r="G34" s="84" t="s">
        <v>5</v>
      </c>
      <c r="H34" s="65">
        <v>25750</v>
      </c>
      <c r="I34" s="65">
        <v>25750</v>
      </c>
      <c r="J34" s="65"/>
      <c r="K34" s="65"/>
      <c r="L34" s="65">
        <f t="shared" si="1"/>
        <v>0</v>
      </c>
      <c r="M34" s="65">
        <v>51500</v>
      </c>
      <c r="N34" s="56" t="str">
        <f t="shared" si="2"/>
        <v>ปิดทุน</v>
      </c>
      <c r="O34" s="65"/>
    </row>
    <row r="35" spans="1:15" ht="96">
      <c r="A35" s="141">
        <f t="shared" si="0"/>
        <v>32</v>
      </c>
      <c r="B35" s="61" t="s">
        <v>317</v>
      </c>
      <c r="C35" s="66" t="s">
        <v>114</v>
      </c>
      <c r="D35" s="63" t="s">
        <v>193</v>
      </c>
      <c r="E35" s="64" t="s">
        <v>194</v>
      </c>
      <c r="F35" s="84" t="s">
        <v>520</v>
      </c>
      <c r="G35" s="84" t="s">
        <v>5</v>
      </c>
      <c r="H35" s="65">
        <v>25750</v>
      </c>
      <c r="I35" s="65">
        <v>10300</v>
      </c>
      <c r="J35" s="65">
        <v>15450</v>
      </c>
      <c r="K35" s="65"/>
      <c r="L35" s="65">
        <f t="shared" si="1"/>
        <v>0</v>
      </c>
      <c r="M35" s="65">
        <v>51500</v>
      </c>
      <c r="N35" s="56" t="str">
        <f t="shared" si="2"/>
        <v>ปิดทุน</v>
      </c>
      <c r="O35" s="65"/>
    </row>
    <row r="36" spans="1:15" ht="72">
      <c r="A36" s="141">
        <f t="shared" si="0"/>
        <v>33</v>
      </c>
      <c r="B36" s="61" t="s">
        <v>318</v>
      </c>
      <c r="C36" s="66" t="s">
        <v>33</v>
      </c>
      <c r="D36" s="63" t="s">
        <v>319</v>
      </c>
      <c r="E36" s="64" t="s">
        <v>320</v>
      </c>
      <c r="F36" s="84" t="s">
        <v>520</v>
      </c>
      <c r="G36" s="84" t="s">
        <v>96</v>
      </c>
      <c r="H36" s="65">
        <v>20000</v>
      </c>
      <c r="I36" s="65">
        <v>20000</v>
      </c>
      <c r="J36" s="65"/>
      <c r="K36" s="65"/>
      <c r="L36" s="65">
        <f t="shared" si="1"/>
        <v>0</v>
      </c>
      <c r="M36" s="65">
        <v>40000</v>
      </c>
      <c r="N36" s="56" t="str">
        <f t="shared" si="2"/>
        <v>ปิดทุน</v>
      </c>
      <c r="O36" s="65"/>
    </row>
    <row r="37" spans="1:15" ht="96">
      <c r="A37" s="141">
        <f t="shared" si="0"/>
        <v>34</v>
      </c>
      <c r="B37" s="61" t="s">
        <v>332</v>
      </c>
      <c r="C37" s="66" t="s">
        <v>9</v>
      </c>
      <c r="D37" s="63" t="s">
        <v>37</v>
      </c>
      <c r="E37" s="64" t="s">
        <v>38</v>
      </c>
      <c r="F37" s="84" t="s">
        <v>519</v>
      </c>
      <c r="G37" s="84" t="s">
        <v>333</v>
      </c>
      <c r="H37" s="65">
        <v>60000</v>
      </c>
      <c r="I37" s="65">
        <v>60000</v>
      </c>
      <c r="J37" s="65"/>
      <c r="K37" s="65"/>
      <c r="L37" s="65">
        <f t="shared" si="1"/>
        <v>0</v>
      </c>
      <c r="M37" s="65">
        <v>120000</v>
      </c>
      <c r="N37" s="56" t="str">
        <f t="shared" si="2"/>
        <v>ปิดทุน</v>
      </c>
      <c r="O37" s="65"/>
    </row>
    <row r="38" spans="1:15">
      <c r="A38" s="141"/>
      <c r="B38" s="67" t="s">
        <v>507</v>
      </c>
      <c r="C38" s="66"/>
      <c r="D38" s="63"/>
      <c r="E38" s="64"/>
      <c r="F38" s="84"/>
      <c r="G38" s="84"/>
      <c r="H38" s="65"/>
      <c r="I38" s="65"/>
      <c r="J38" s="65"/>
      <c r="K38" s="65"/>
      <c r="L38" s="65"/>
      <c r="M38" s="65"/>
      <c r="N38" s="56"/>
      <c r="O38" s="65"/>
    </row>
    <row r="39" spans="1:15" ht="90" customHeight="1">
      <c r="A39" s="141">
        <v>1</v>
      </c>
      <c r="B39" s="61" t="s">
        <v>334</v>
      </c>
      <c r="C39" s="62" t="s">
        <v>9</v>
      </c>
      <c r="D39" s="63" t="s">
        <v>335</v>
      </c>
      <c r="E39" s="64" t="s">
        <v>336</v>
      </c>
      <c r="F39" s="84" t="s">
        <v>521</v>
      </c>
      <c r="G39" s="84" t="s">
        <v>5</v>
      </c>
      <c r="H39" s="65">
        <v>43500</v>
      </c>
      <c r="I39" s="65">
        <v>43500</v>
      </c>
      <c r="J39" s="65"/>
      <c r="K39" s="65"/>
      <c r="L39" s="65">
        <f>H39+I39+J39-M39</f>
        <v>0</v>
      </c>
      <c r="M39" s="65">
        <v>87000</v>
      </c>
      <c r="N39" s="56" t="str">
        <f>IF(L39=0,"ปิดทุน",IF(L39&lt;0,"ยังไม่ปิดทุน","เกินทุน"))</f>
        <v>ปิดทุน</v>
      </c>
      <c r="O39" s="65"/>
    </row>
    <row r="42" spans="1:15">
      <c r="B42" s="60"/>
    </row>
    <row r="43" spans="1:15">
      <c r="B43" s="60"/>
    </row>
    <row r="44" spans="1:15">
      <c r="B44" s="60"/>
    </row>
    <row r="45" spans="1:15">
      <c r="B45" s="60"/>
    </row>
    <row r="46" spans="1:15">
      <c r="B46" s="60"/>
    </row>
    <row r="47" spans="1:15">
      <c r="B47" s="60"/>
    </row>
    <row r="48" spans="1:15">
      <c r="B48" s="60"/>
    </row>
    <row r="49" spans="2:2">
      <c r="B49" s="60"/>
    </row>
    <row r="50" spans="2:2">
      <c r="B50" s="60"/>
    </row>
    <row r="51" spans="2:2">
      <c r="B51" s="60"/>
    </row>
    <row r="52" spans="2:2">
      <c r="B52" s="60"/>
    </row>
    <row r="53" spans="2:2">
      <c r="B53" s="60"/>
    </row>
    <row r="54" spans="2:2">
      <c r="B54" s="60"/>
    </row>
    <row r="55" spans="2:2">
      <c r="B55" s="60"/>
    </row>
    <row r="56" spans="2:2">
      <c r="B56" s="60"/>
    </row>
    <row r="57" spans="2:2">
      <c r="B57" s="60"/>
    </row>
    <row r="58" spans="2:2">
      <c r="B58" s="60"/>
    </row>
    <row r="59" spans="2:2">
      <c r="B59" s="60"/>
    </row>
    <row r="60" spans="2:2">
      <c r="B60" s="60"/>
    </row>
    <row r="61" spans="2:2">
      <c r="B61" s="60"/>
    </row>
    <row r="62" spans="2:2">
      <c r="B62" s="60"/>
    </row>
    <row r="63" spans="2:2">
      <c r="B63" s="60"/>
    </row>
    <row r="64" spans="2:2">
      <c r="B64" s="60"/>
    </row>
    <row r="65" spans="2:11">
      <c r="B65" s="60"/>
    </row>
    <row r="66" spans="2:11">
      <c r="B66" s="60"/>
    </row>
    <row r="67" spans="2:11">
      <c r="B67" s="60"/>
    </row>
    <row r="68" spans="2:11">
      <c r="B68" s="60"/>
    </row>
    <row r="69" spans="2:11">
      <c r="B69" s="60"/>
    </row>
    <row r="70" spans="2:11">
      <c r="B70" s="60"/>
    </row>
    <row r="71" spans="2:11">
      <c r="B71" s="60"/>
    </row>
    <row r="72" spans="2:11">
      <c r="B72" s="60"/>
    </row>
    <row r="73" spans="2:11">
      <c r="B73" s="60"/>
    </row>
    <row r="74" spans="2:11">
      <c r="B74" s="60"/>
      <c r="H74" s="60"/>
      <c r="I74" s="60"/>
      <c r="J74" s="60"/>
      <c r="K74" s="60"/>
    </row>
    <row r="75" spans="2:11">
      <c r="B75" s="60"/>
      <c r="H75" s="60"/>
      <c r="I75" s="60"/>
      <c r="J75" s="60"/>
      <c r="K75" s="60"/>
    </row>
    <row r="76" spans="2:11">
      <c r="B76" s="60"/>
      <c r="H76" s="60"/>
      <c r="I76" s="60"/>
      <c r="J76" s="60"/>
      <c r="K76" s="60"/>
    </row>
    <row r="77" spans="2:11">
      <c r="B77" s="60"/>
      <c r="H77" s="60"/>
      <c r="I77" s="60"/>
      <c r="J77" s="60"/>
      <c r="K77" s="60"/>
    </row>
    <row r="78" spans="2:11">
      <c r="B78" s="60"/>
      <c r="H78" s="60"/>
      <c r="I78" s="60"/>
      <c r="J78" s="60"/>
      <c r="K78" s="60"/>
    </row>
    <row r="79" spans="2:11">
      <c r="B79" s="60"/>
      <c r="H79" s="60"/>
      <c r="I79" s="60"/>
      <c r="J79" s="60"/>
      <c r="K79" s="60"/>
    </row>
    <row r="80" spans="2:11">
      <c r="B80" s="60"/>
      <c r="H80" s="60"/>
      <c r="I80" s="60"/>
      <c r="J80" s="60"/>
      <c r="K80" s="60"/>
    </row>
    <row r="81" spans="2:11">
      <c r="B81" s="60"/>
      <c r="H81" s="60"/>
      <c r="I81" s="60"/>
      <c r="J81" s="60"/>
      <c r="K81" s="60"/>
    </row>
    <row r="82" spans="2:11">
      <c r="B82" s="60"/>
      <c r="H82" s="60"/>
      <c r="I82" s="60"/>
      <c r="J82" s="60"/>
      <c r="K82" s="60"/>
    </row>
    <row r="83" spans="2:11">
      <c r="B83" s="60"/>
      <c r="H83" s="60"/>
      <c r="I83" s="60"/>
      <c r="J83" s="60"/>
      <c r="K83" s="60"/>
    </row>
    <row r="84" spans="2:11">
      <c r="B84" s="60"/>
      <c r="H84" s="60"/>
      <c r="I84" s="60"/>
      <c r="J84" s="60"/>
      <c r="K84" s="60"/>
    </row>
    <row r="85" spans="2:11">
      <c r="B85" s="60"/>
      <c r="H85" s="60"/>
      <c r="I85" s="60"/>
      <c r="J85" s="60"/>
      <c r="K85" s="60"/>
    </row>
  </sheetData>
  <mergeCells count="9">
    <mergeCell ref="A1:O1"/>
    <mergeCell ref="N2:N3"/>
    <mergeCell ref="O2:O3"/>
    <mergeCell ref="H2:M2"/>
    <mergeCell ref="A2:A3"/>
    <mergeCell ref="B2:B3"/>
    <mergeCell ref="C2:E3"/>
    <mergeCell ref="F2:F3"/>
    <mergeCell ref="G2:G3"/>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6699"/>
  </sheetPr>
  <dimension ref="A1:T78"/>
  <sheetViews>
    <sheetView zoomScale="60" zoomScaleNormal="60" workbookViewId="0">
      <selection activeCell="S9" sqref="S9"/>
    </sheetView>
  </sheetViews>
  <sheetFormatPr defaultColWidth="9" defaultRowHeight="24"/>
  <cols>
    <col min="1" max="1" width="6.33203125" style="7" customWidth="1"/>
    <col min="2" max="2" width="47" style="6" customWidth="1"/>
    <col min="3" max="3" width="9.44140625" style="5" bestFit="1" customWidth="1"/>
    <col min="4" max="4" width="10.33203125" style="5" bestFit="1" customWidth="1"/>
    <col min="5" max="5" width="12.33203125" style="5" bestFit="1" customWidth="1"/>
    <col min="6" max="6" width="7" style="5" bestFit="1" customWidth="1"/>
    <col min="7" max="7" width="32.5546875" style="5" customWidth="1"/>
    <col min="8" max="9" width="15.109375" style="8" bestFit="1" customWidth="1"/>
    <col min="10" max="10" width="16.33203125" style="8" bestFit="1" customWidth="1"/>
    <col min="11" max="11" width="16.33203125" style="8" customWidth="1"/>
    <col min="12" max="12" width="17.109375" style="9" bestFit="1" customWidth="1"/>
    <col min="13" max="13" width="18.33203125" style="8" customWidth="1"/>
    <col min="14" max="16384" width="9" style="5"/>
  </cols>
  <sheetData>
    <row r="1" spans="1:16" s="2" customFormat="1" ht="27">
      <c r="A1" s="393" t="s">
        <v>512</v>
      </c>
      <c r="B1" s="393"/>
      <c r="C1" s="393"/>
      <c r="D1" s="393"/>
      <c r="E1" s="393"/>
      <c r="F1" s="393"/>
      <c r="G1" s="393"/>
      <c r="H1" s="393"/>
      <c r="I1" s="393"/>
      <c r="J1" s="393"/>
      <c r="K1" s="393"/>
      <c r="L1" s="393"/>
      <c r="M1" s="393"/>
      <c r="N1" s="393"/>
      <c r="O1" s="393"/>
    </row>
    <row r="2" spans="1:16" s="2" customFormat="1">
      <c r="A2" s="410" t="s">
        <v>0</v>
      </c>
      <c r="B2" s="411" t="s">
        <v>1</v>
      </c>
      <c r="C2" s="410" t="s">
        <v>2</v>
      </c>
      <c r="D2" s="410"/>
      <c r="E2" s="410"/>
      <c r="F2" s="410" t="s">
        <v>4</v>
      </c>
      <c r="G2" s="396" t="s">
        <v>3</v>
      </c>
      <c r="H2" s="394" t="s">
        <v>6</v>
      </c>
      <c r="I2" s="394"/>
      <c r="J2" s="394"/>
      <c r="K2" s="394"/>
      <c r="L2" s="394"/>
      <c r="M2" s="394"/>
      <c r="N2" s="396" t="s">
        <v>11</v>
      </c>
      <c r="O2" s="396" t="s">
        <v>500</v>
      </c>
      <c r="P2" s="2" t="s">
        <v>551</v>
      </c>
    </row>
    <row r="3" spans="1:16" s="2" customFormat="1">
      <c r="A3" s="410"/>
      <c r="B3" s="411"/>
      <c r="C3" s="410"/>
      <c r="D3" s="410"/>
      <c r="E3" s="410"/>
      <c r="F3" s="410"/>
      <c r="G3" s="397"/>
      <c r="H3" s="3" t="s">
        <v>65</v>
      </c>
      <c r="I3" s="3" t="s">
        <v>66</v>
      </c>
      <c r="J3" s="3" t="s">
        <v>67</v>
      </c>
      <c r="K3" s="3" t="s">
        <v>396</v>
      </c>
      <c r="L3" s="4" t="s">
        <v>68</v>
      </c>
      <c r="M3" s="3" t="s">
        <v>6</v>
      </c>
      <c r="N3" s="426"/>
      <c r="O3" s="426"/>
    </row>
    <row r="4" spans="1:16" ht="96">
      <c r="A4" s="16">
        <f>ROW(A1)</f>
        <v>1</v>
      </c>
      <c r="B4" s="17" t="s">
        <v>321</v>
      </c>
      <c r="C4" s="31" t="s">
        <v>9</v>
      </c>
      <c r="D4" s="32" t="s">
        <v>322</v>
      </c>
      <c r="E4" s="33" t="s">
        <v>323</v>
      </c>
      <c r="F4" s="71" t="s">
        <v>522</v>
      </c>
      <c r="G4" s="18" t="s">
        <v>5</v>
      </c>
      <c r="H4" s="19">
        <v>41500</v>
      </c>
      <c r="I4" s="19">
        <v>41500</v>
      </c>
      <c r="J4" s="19"/>
      <c r="K4" s="19"/>
      <c r="L4" s="20">
        <f>H4+I4+J4-M4</f>
        <v>0</v>
      </c>
      <c r="M4" s="19">
        <v>83000</v>
      </c>
      <c r="N4" s="24" t="str">
        <f>IF(L4=0,"ปิดทุน",IF(L4&lt;0,"ยังไม่ปิดทุน","เกินทุน"))</f>
        <v>ปิดทุน</v>
      </c>
      <c r="O4" s="24"/>
    </row>
    <row r="5" spans="1:16" ht="96">
      <c r="A5" s="16">
        <f t="shared" ref="A5:A43" si="0">ROW(A2)</f>
        <v>2</v>
      </c>
      <c r="B5" s="23" t="s">
        <v>324</v>
      </c>
      <c r="C5" s="37" t="s">
        <v>13</v>
      </c>
      <c r="D5" s="35" t="s">
        <v>101</v>
      </c>
      <c r="E5" s="36" t="s">
        <v>102</v>
      </c>
      <c r="F5" s="71" t="s">
        <v>522</v>
      </c>
      <c r="G5" s="24" t="s">
        <v>5</v>
      </c>
      <c r="H5" s="25">
        <v>41500</v>
      </c>
      <c r="I5" s="25">
        <v>41500</v>
      </c>
      <c r="J5" s="25"/>
      <c r="K5" s="25"/>
      <c r="L5" s="26">
        <f t="shared" ref="L5:L43" si="1">H5+I5+J5-M5</f>
        <v>0</v>
      </c>
      <c r="M5" s="25">
        <v>83000</v>
      </c>
      <c r="N5" s="24" t="str">
        <f t="shared" ref="N5:N35" si="2">IF(L5=0,"ปิดทุน",IF(L5&lt;0,"ยังไม่ปิดทุน","เกินทุน"))</f>
        <v>ปิดทุน</v>
      </c>
      <c r="O5" s="24"/>
    </row>
    <row r="6" spans="1:16" ht="96">
      <c r="A6" s="16">
        <f t="shared" si="0"/>
        <v>3</v>
      </c>
      <c r="B6" s="23" t="s">
        <v>325</v>
      </c>
      <c r="C6" s="37" t="s">
        <v>9</v>
      </c>
      <c r="D6" s="35" t="s">
        <v>78</v>
      </c>
      <c r="E6" s="36" t="s">
        <v>79</v>
      </c>
      <c r="F6" s="71" t="s">
        <v>522</v>
      </c>
      <c r="G6" s="24" t="s">
        <v>5</v>
      </c>
      <c r="H6" s="25">
        <v>41500</v>
      </c>
      <c r="I6" s="25">
        <v>16600</v>
      </c>
      <c r="J6" s="26">
        <v>24900</v>
      </c>
      <c r="K6" s="26"/>
      <c r="L6" s="26">
        <f t="shared" si="1"/>
        <v>0</v>
      </c>
      <c r="M6" s="25">
        <v>83000</v>
      </c>
      <c r="N6" s="24" t="str">
        <f t="shared" si="2"/>
        <v>ปิดทุน</v>
      </c>
      <c r="O6" s="28"/>
    </row>
    <row r="7" spans="1:16">
      <c r="A7" s="16">
        <f t="shared" si="0"/>
        <v>4</v>
      </c>
      <c r="B7" s="23" t="s">
        <v>326</v>
      </c>
      <c r="C7" s="37" t="s">
        <v>9</v>
      </c>
      <c r="D7" s="35" t="s">
        <v>47</v>
      </c>
      <c r="E7" s="36" t="s">
        <v>48</v>
      </c>
      <c r="F7" s="71" t="s">
        <v>519</v>
      </c>
      <c r="G7" s="24" t="s">
        <v>5</v>
      </c>
      <c r="H7" s="25">
        <v>33500</v>
      </c>
      <c r="I7" s="25">
        <v>33500</v>
      </c>
      <c r="J7" s="25"/>
      <c r="K7" s="25"/>
      <c r="L7" s="26">
        <f t="shared" si="1"/>
        <v>0</v>
      </c>
      <c r="M7" s="25">
        <v>67000</v>
      </c>
      <c r="N7" s="24" t="str">
        <f t="shared" si="2"/>
        <v>ปิดทุน</v>
      </c>
      <c r="O7" s="24"/>
    </row>
    <row r="8" spans="1:16" ht="96">
      <c r="A8" s="16">
        <f t="shared" si="0"/>
        <v>5</v>
      </c>
      <c r="B8" s="23" t="s">
        <v>327</v>
      </c>
      <c r="C8" s="37" t="s">
        <v>43</v>
      </c>
      <c r="D8" s="35" t="s">
        <v>44</v>
      </c>
      <c r="E8" s="36" t="s">
        <v>45</v>
      </c>
      <c r="F8" s="71" t="s">
        <v>519</v>
      </c>
      <c r="G8" s="24" t="s">
        <v>5</v>
      </c>
      <c r="H8" s="25">
        <v>33500</v>
      </c>
      <c r="I8" s="25">
        <v>33500</v>
      </c>
      <c r="J8" s="25"/>
      <c r="K8" s="25"/>
      <c r="L8" s="26">
        <f t="shared" si="1"/>
        <v>0</v>
      </c>
      <c r="M8" s="25">
        <v>67000</v>
      </c>
      <c r="N8" s="24" t="str">
        <f t="shared" si="2"/>
        <v>ปิดทุน</v>
      </c>
      <c r="O8" s="24"/>
    </row>
    <row r="9" spans="1:16" ht="96">
      <c r="A9" s="16">
        <f t="shared" si="0"/>
        <v>6</v>
      </c>
      <c r="B9" s="23" t="s">
        <v>328</v>
      </c>
      <c r="C9" s="37" t="s">
        <v>33</v>
      </c>
      <c r="D9" s="35" t="s">
        <v>200</v>
      </c>
      <c r="E9" s="36" t="s">
        <v>201</v>
      </c>
      <c r="F9" s="24" t="s">
        <v>519</v>
      </c>
      <c r="G9" s="24" t="s">
        <v>5</v>
      </c>
      <c r="H9" s="25">
        <v>33500</v>
      </c>
      <c r="I9" s="25">
        <v>33500</v>
      </c>
      <c r="J9" s="25"/>
      <c r="K9" s="25"/>
      <c r="L9" s="26">
        <f t="shared" si="1"/>
        <v>0</v>
      </c>
      <c r="M9" s="25">
        <v>67000</v>
      </c>
      <c r="N9" s="24" t="str">
        <f t="shared" si="2"/>
        <v>ปิดทุน</v>
      </c>
      <c r="O9" s="24"/>
    </row>
    <row r="10" spans="1:16" ht="72">
      <c r="A10" s="16">
        <f t="shared" si="0"/>
        <v>7</v>
      </c>
      <c r="B10" s="23" t="s">
        <v>330</v>
      </c>
      <c r="C10" s="37" t="s">
        <v>33</v>
      </c>
      <c r="D10" s="35" t="s">
        <v>270</v>
      </c>
      <c r="E10" s="36" t="s">
        <v>271</v>
      </c>
      <c r="F10" s="24" t="s">
        <v>519</v>
      </c>
      <c r="G10" s="24" t="s">
        <v>5</v>
      </c>
      <c r="H10" s="25">
        <v>33500</v>
      </c>
      <c r="I10" s="25">
        <v>33500</v>
      </c>
      <c r="J10" s="25"/>
      <c r="K10" s="25"/>
      <c r="L10" s="26">
        <f t="shared" si="1"/>
        <v>0</v>
      </c>
      <c r="M10" s="25">
        <v>67000</v>
      </c>
      <c r="N10" s="24" t="str">
        <f t="shared" si="2"/>
        <v>ปิดทุน</v>
      </c>
      <c r="O10" s="24"/>
    </row>
    <row r="11" spans="1:16" ht="48">
      <c r="A11" s="16">
        <f t="shared" si="0"/>
        <v>8</v>
      </c>
      <c r="B11" s="23" t="s">
        <v>331</v>
      </c>
      <c r="C11" s="37" t="s">
        <v>9</v>
      </c>
      <c r="D11" s="35" t="s">
        <v>202</v>
      </c>
      <c r="E11" s="36" t="s">
        <v>203</v>
      </c>
      <c r="F11" s="24" t="s">
        <v>519</v>
      </c>
      <c r="G11" s="24" t="s">
        <v>5</v>
      </c>
      <c r="H11" s="25">
        <v>33500</v>
      </c>
      <c r="I11" s="25">
        <v>33500</v>
      </c>
      <c r="J11" s="25"/>
      <c r="K11" s="25"/>
      <c r="L11" s="26">
        <f t="shared" si="1"/>
        <v>0</v>
      </c>
      <c r="M11" s="25">
        <v>67000</v>
      </c>
      <c r="N11" s="24" t="str">
        <f t="shared" si="2"/>
        <v>ปิดทุน</v>
      </c>
      <c r="O11" s="24"/>
    </row>
    <row r="12" spans="1:16" ht="96">
      <c r="A12" s="16">
        <f t="shared" si="0"/>
        <v>9</v>
      </c>
      <c r="B12" s="23" t="s">
        <v>337</v>
      </c>
      <c r="C12" s="37" t="s">
        <v>329</v>
      </c>
      <c r="D12" s="35" t="s">
        <v>338</v>
      </c>
      <c r="E12" s="36" t="s">
        <v>339</v>
      </c>
      <c r="F12" s="24" t="s">
        <v>519</v>
      </c>
      <c r="G12" s="24" t="s">
        <v>5</v>
      </c>
      <c r="H12" s="25">
        <v>33500</v>
      </c>
      <c r="I12" s="25">
        <v>33500</v>
      </c>
      <c r="J12" s="25"/>
      <c r="K12" s="25"/>
      <c r="L12" s="26">
        <f t="shared" si="1"/>
        <v>0</v>
      </c>
      <c r="M12" s="25">
        <v>67000</v>
      </c>
      <c r="N12" s="24" t="str">
        <f t="shared" si="2"/>
        <v>ปิดทุน</v>
      </c>
      <c r="O12" s="24"/>
    </row>
    <row r="13" spans="1:16">
      <c r="A13" s="16">
        <f t="shared" si="0"/>
        <v>10</v>
      </c>
      <c r="B13" s="23" t="s">
        <v>340</v>
      </c>
      <c r="C13" s="37" t="s">
        <v>13</v>
      </c>
      <c r="D13" s="35" t="s">
        <v>24</v>
      </c>
      <c r="E13" s="36" t="s">
        <v>25</v>
      </c>
      <c r="F13" s="24" t="s">
        <v>519</v>
      </c>
      <c r="G13" s="24" t="s">
        <v>5</v>
      </c>
      <c r="H13" s="25">
        <v>33500</v>
      </c>
      <c r="I13" s="25">
        <v>33500</v>
      </c>
      <c r="J13" s="25"/>
      <c r="K13" s="25"/>
      <c r="L13" s="26">
        <f t="shared" si="1"/>
        <v>0</v>
      </c>
      <c r="M13" s="25">
        <v>67000</v>
      </c>
      <c r="N13" s="24" t="str">
        <f t="shared" si="2"/>
        <v>ปิดทุน</v>
      </c>
      <c r="O13" s="24"/>
    </row>
    <row r="14" spans="1:16" ht="72">
      <c r="A14" s="16">
        <f t="shared" si="0"/>
        <v>11</v>
      </c>
      <c r="B14" s="23" t="s">
        <v>341</v>
      </c>
      <c r="C14" s="37" t="s">
        <v>329</v>
      </c>
      <c r="D14" s="35" t="s">
        <v>342</v>
      </c>
      <c r="E14" s="36" t="s">
        <v>343</v>
      </c>
      <c r="F14" s="24" t="s">
        <v>519</v>
      </c>
      <c r="G14" s="24" t="s">
        <v>5</v>
      </c>
      <c r="H14" s="25">
        <v>33500</v>
      </c>
      <c r="I14" s="25">
        <v>33500</v>
      </c>
      <c r="J14" s="25"/>
      <c r="K14" s="25"/>
      <c r="L14" s="26">
        <f t="shared" si="1"/>
        <v>0</v>
      </c>
      <c r="M14" s="25">
        <v>67000</v>
      </c>
      <c r="N14" s="24" t="str">
        <f t="shared" si="2"/>
        <v>ปิดทุน</v>
      </c>
      <c r="O14" s="24"/>
    </row>
    <row r="15" spans="1:16" ht="96">
      <c r="A15" s="16">
        <f t="shared" si="0"/>
        <v>12</v>
      </c>
      <c r="B15" s="23" t="s">
        <v>344</v>
      </c>
      <c r="C15" s="37" t="s">
        <v>13</v>
      </c>
      <c r="D15" s="35" t="s">
        <v>246</v>
      </c>
      <c r="E15" s="36" t="s">
        <v>247</v>
      </c>
      <c r="F15" s="24" t="s">
        <v>521</v>
      </c>
      <c r="G15" s="24" t="s">
        <v>5</v>
      </c>
      <c r="H15" s="25">
        <v>41500</v>
      </c>
      <c r="I15" s="25">
        <v>41500</v>
      </c>
      <c r="J15" s="25"/>
      <c r="K15" s="25"/>
      <c r="L15" s="26">
        <f t="shared" si="1"/>
        <v>0</v>
      </c>
      <c r="M15" s="25">
        <v>83000</v>
      </c>
      <c r="N15" s="24" t="str">
        <f t="shared" si="2"/>
        <v>ปิดทุน</v>
      </c>
      <c r="O15" s="24"/>
    </row>
    <row r="16" spans="1:16" ht="48">
      <c r="A16" s="16">
        <f t="shared" si="0"/>
        <v>13</v>
      </c>
      <c r="B16" s="23" t="s">
        <v>345</v>
      </c>
      <c r="C16" s="37" t="s">
        <v>9</v>
      </c>
      <c r="D16" s="35" t="s">
        <v>50</v>
      </c>
      <c r="E16" s="36" t="s">
        <v>175</v>
      </c>
      <c r="F16" s="24" t="s">
        <v>521</v>
      </c>
      <c r="G16" s="24" t="s">
        <v>5</v>
      </c>
      <c r="H16" s="25">
        <v>41500</v>
      </c>
      <c r="I16" s="25">
        <v>41500</v>
      </c>
      <c r="J16" s="25"/>
      <c r="K16" s="25"/>
      <c r="L16" s="26">
        <f t="shared" si="1"/>
        <v>0</v>
      </c>
      <c r="M16" s="25">
        <v>83000</v>
      </c>
      <c r="N16" s="24" t="str">
        <f t="shared" si="2"/>
        <v>ปิดทุน</v>
      </c>
      <c r="O16" s="24"/>
    </row>
    <row r="17" spans="1:16" ht="72">
      <c r="A17" s="16">
        <f t="shared" si="0"/>
        <v>14</v>
      </c>
      <c r="B17" s="23" t="s">
        <v>346</v>
      </c>
      <c r="C17" s="37" t="s">
        <v>9</v>
      </c>
      <c r="D17" s="35" t="s">
        <v>186</v>
      </c>
      <c r="E17" s="36" t="s">
        <v>187</v>
      </c>
      <c r="F17" s="24" t="s">
        <v>523</v>
      </c>
      <c r="G17" s="24" t="s">
        <v>5</v>
      </c>
      <c r="H17" s="25">
        <v>41500</v>
      </c>
      <c r="I17" s="25">
        <v>41500</v>
      </c>
      <c r="J17" s="25"/>
      <c r="K17" s="25"/>
      <c r="L17" s="26">
        <f t="shared" si="1"/>
        <v>0</v>
      </c>
      <c r="M17" s="25">
        <v>83000</v>
      </c>
      <c r="N17" s="24" t="str">
        <f t="shared" si="2"/>
        <v>ปิดทุน</v>
      </c>
      <c r="O17" s="24"/>
    </row>
    <row r="18" spans="1:16" ht="72">
      <c r="A18" s="16">
        <f t="shared" si="0"/>
        <v>15</v>
      </c>
      <c r="B18" s="23" t="s">
        <v>347</v>
      </c>
      <c r="C18" s="37" t="s">
        <v>9</v>
      </c>
      <c r="D18" s="35" t="s">
        <v>122</v>
      </c>
      <c r="E18" s="36" t="s">
        <v>123</v>
      </c>
      <c r="F18" s="24" t="s">
        <v>523</v>
      </c>
      <c r="G18" s="24" t="s">
        <v>5</v>
      </c>
      <c r="H18" s="25">
        <v>41500</v>
      </c>
      <c r="I18" s="25">
        <v>41500</v>
      </c>
      <c r="J18" s="25"/>
      <c r="K18" s="25"/>
      <c r="L18" s="26">
        <f t="shared" si="1"/>
        <v>0</v>
      </c>
      <c r="M18" s="25">
        <v>83000</v>
      </c>
      <c r="N18" s="24" t="str">
        <f t="shared" si="2"/>
        <v>ปิดทุน</v>
      </c>
      <c r="O18" s="24"/>
    </row>
    <row r="19" spans="1:16" ht="120">
      <c r="A19" s="16">
        <f t="shared" si="0"/>
        <v>16</v>
      </c>
      <c r="B19" s="23" t="s">
        <v>348</v>
      </c>
      <c r="C19" s="37" t="s">
        <v>87</v>
      </c>
      <c r="D19" s="35" t="s">
        <v>349</v>
      </c>
      <c r="E19" s="36" t="s">
        <v>350</v>
      </c>
      <c r="F19" s="24" t="s">
        <v>520</v>
      </c>
      <c r="G19" s="24" t="s">
        <v>5</v>
      </c>
      <c r="H19" s="25">
        <v>27500</v>
      </c>
      <c r="I19" s="25">
        <v>27500</v>
      </c>
      <c r="J19" s="25"/>
      <c r="K19" s="25"/>
      <c r="L19" s="26">
        <f t="shared" si="1"/>
        <v>0</v>
      </c>
      <c r="M19" s="25">
        <v>55000</v>
      </c>
      <c r="N19" s="24" t="str">
        <f t="shared" si="2"/>
        <v>ปิดทุน</v>
      </c>
      <c r="O19" s="24"/>
    </row>
    <row r="20" spans="1:16" ht="72">
      <c r="A20" s="16">
        <f t="shared" si="0"/>
        <v>17</v>
      </c>
      <c r="B20" s="23" t="s">
        <v>351</v>
      </c>
      <c r="C20" s="37" t="s">
        <v>33</v>
      </c>
      <c r="D20" s="35" t="s">
        <v>183</v>
      </c>
      <c r="E20" s="36" t="s">
        <v>184</v>
      </c>
      <c r="F20" s="24" t="s">
        <v>523</v>
      </c>
      <c r="G20" s="24" t="s">
        <v>5</v>
      </c>
      <c r="H20" s="25">
        <v>41500</v>
      </c>
      <c r="I20" s="25">
        <v>41500</v>
      </c>
      <c r="J20" s="25"/>
      <c r="K20" s="25"/>
      <c r="L20" s="26">
        <f t="shared" si="1"/>
        <v>0</v>
      </c>
      <c r="M20" s="25">
        <v>83000</v>
      </c>
      <c r="N20" s="24" t="str">
        <f t="shared" si="2"/>
        <v>ปิดทุน</v>
      </c>
      <c r="O20" s="24"/>
    </row>
    <row r="21" spans="1:16" ht="120">
      <c r="A21" s="16">
        <f t="shared" si="0"/>
        <v>18</v>
      </c>
      <c r="B21" s="23" t="s">
        <v>352</v>
      </c>
      <c r="C21" s="37" t="s">
        <v>58</v>
      </c>
      <c r="D21" s="35" t="s">
        <v>59</v>
      </c>
      <c r="E21" s="36" t="s">
        <v>60</v>
      </c>
      <c r="F21" s="24" t="s">
        <v>520</v>
      </c>
      <c r="G21" s="24" t="s">
        <v>5</v>
      </c>
      <c r="H21" s="25">
        <v>41500</v>
      </c>
      <c r="I21" s="25">
        <v>41500</v>
      </c>
      <c r="J21" s="25"/>
      <c r="K21" s="25"/>
      <c r="L21" s="26">
        <f t="shared" si="1"/>
        <v>0</v>
      </c>
      <c r="M21" s="25">
        <v>83000</v>
      </c>
      <c r="N21" s="24" t="str">
        <f t="shared" si="2"/>
        <v>ปิดทุน</v>
      </c>
      <c r="O21" s="24"/>
    </row>
    <row r="22" spans="1:16" ht="72">
      <c r="A22" s="16">
        <f t="shared" si="0"/>
        <v>19</v>
      </c>
      <c r="B22" s="23" t="s">
        <v>353</v>
      </c>
      <c r="C22" s="37" t="s">
        <v>13</v>
      </c>
      <c r="D22" s="35" t="s">
        <v>62</v>
      </c>
      <c r="E22" s="36" t="s">
        <v>63</v>
      </c>
      <c r="F22" s="24" t="s">
        <v>523</v>
      </c>
      <c r="G22" s="24" t="s">
        <v>5</v>
      </c>
      <c r="H22" s="25">
        <v>41500</v>
      </c>
      <c r="I22" s="25">
        <v>41500</v>
      </c>
      <c r="J22" s="25"/>
      <c r="K22" s="25"/>
      <c r="L22" s="26">
        <f t="shared" si="1"/>
        <v>0</v>
      </c>
      <c r="M22" s="25">
        <v>83000</v>
      </c>
      <c r="N22" s="24" t="str">
        <f t="shared" si="2"/>
        <v>ปิดทุน</v>
      </c>
      <c r="O22" s="24"/>
    </row>
    <row r="23" spans="1:16" ht="72">
      <c r="A23" s="16">
        <f t="shared" si="0"/>
        <v>20</v>
      </c>
      <c r="B23" s="23" t="s">
        <v>353</v>
      </c>
      <c r="C23" s="37" t="s">
        <v>329</v>
      </c>
      <c r="D23" s="35" t="s">
        <v>354</v>
      </c>
      <c r="E23" s="36" t="s">
        <v>355</v>
      </c>
      <c r="F23" s="24" t="s">
        <v>523</v>
      </c>
      <c r="G23" s="24" t="s">
        <v>5</v>
      </c>
      <c r="H23" s="25">
        <v>41500</v>
      </c>
      <c r="I23" s="25">
        <v>41500</v>
      </c>
      <c r="J23" s="25"/>
      <c r="K23" s="25"/>
      <c r="L23" s="26">
        <f t="shared" si="1"/>
        <v>0</v>
      </c>
      <c r="M23" s="25">
        <v>83000</v>
      </c>
      <c r="N23" s="24" t="s">
        <v>503</v>
      </c>
      <c r="O23" s="24"/>
      <c r="P23" s="5" t="s">
        <v>1293</v>
      </c>
    </row>
    <row r="24" spans="1:16" ht="144">
      <c r="A24" s="16">
        <f t="shared" si="0"/>
        <v>21</v>
      </c>
      <c r="B24" s="23" t="s">
        <v>356</v>
      </c>
      <c r="C24" s="37" t="s">
        <v>9</v>
      </c>
      <c r="D24" s="35" t="s">
        <v>180</v>
      </c>
      <c r="E24" s="36" t="s">
        <v>181</v>
      </c>
      <c r="F24" s="24" t="s">
        <v>523</v>
      </c>
      <c r="G24" s="24" t="s">
        <v>5</v>
      </c>
      <c r="H24" s="25">
        <v>41500</v>
      </c>
      <c r="I24" s="25">
        <v>16600</v>
      </c>
      <c r="J24" s="25">
        <v>24900</v>
      </c>
      <c r="K24" s="25"/>
      <c r="L24" s="26">
        <f t="shared" si="1"/>
        <v>0</v>
      </c>
      <c r="M24" s="25">
        <v>83000</v>
      </c>
      <c r="N24" s="24" t="str">
        <f t="shared" si="2"/>
        <v>ปิดทุน</v>
      </c>
      <c r="O24" s="24"/>
    </row>
    <row r="25" spans="1:16" ht="72">
      <c r="A25" s="16">
        <f t="shared" si="0"/>
        <v>22</v>
      </c>
      <c r="B25" s="23" t="s">
        <v>357</v>
      </c>
      <c r="C25" s="37" t="s">
        <v>33</v>
      </c>
      <c r="D25" s="35" t="s">
        <v>358</v>
      </c>
      <c r="E25" s="36" t="s">
        <v>320</v>
      </c>
      <c r="F25" s="24" t="s">
        <v>523</v>
      </c>
      <c r="G25" s="24" t="s">
        <v>5</v>
      </c>
      <c r="H25" s="25">
        <v>41500</v>
      </c>
      <c r="I25" s="25">
        <v>41500</v>
      </c>
      <c r="J25" s="25"/>
      <c r="K25" s="25"/>
      <c r="L25" s="26">
        <f t="shared" si="1"/>
        <v>0</v>
      </c>
      <c r="M25" s="25">
        <v>83000</v>
      </c>
      <c r="N25" s="24" t="str">
        <f t="shared" si="2"/>
        <v>ปิดทุน</v>
      </c>
      <c r="O25" s="24"/>
    </row>
    <row r="26" spans="1:16" ht="96">
      <c r="A26" s="16">
        <f t="shared" si="0"/>
        <v>23</v>
      </c>
      <c r="B26" s="23" t="s">
        <v>359</v>
      </c>
      <c r="C26" s="37" t="s">
        <v>13</v>
      </c>
      <c r="D26" s="35" t="s">
        <v>8</v>
      </c>
      <c r="E26" s="36" t="s">
        <v>10</v>
      </c>
      <c r="F26" s="24" t="s">
        <v>524</v>
      </c>
      <c r="G26" s="24" t="s">
        <v>5</v>
      </c>
      <c r="H26" s="25">
        <v>33500</v>
      </c>
      <c r="I26" s="25">
        <v>13400</v>
      </c>
      <c r="J26" s="25">
        <v>20100</v>
      </c>
      <c r="K26" s="25"/>
      <c r="L26" s="26">
        <f t="shared" si="1"/>
        <v>0</v>
      </c>
      <c r="M26" s="25">
        <v>67000</v>
      </c>
      <c r="N26" s="24" t="str">
        <f t="shared" si="2"/>
        <v>ปิดทุน</v>
      </c>
      <c r="O26" s="24"/>
    </row>
    <row r="27" spans="1:16" ht="72">
      <c r="A27" s="16">
        <f t="shared" si="0"/>
        <v>24</v>
      </c>
      <c r="B27" s="23" t="s">
        <v>360</v>
      </c>
      <c r="C27" s="37" t="s">
        <v>9</v>
      </c>
      <c r="D27" s="35" t="s">
        <v>361</v>
      </c>
      <c r="E27" s="36" t="s">
        <v>362</v>
      </c>
      <c r="F27" s="24" t="s">
        <v>524</v>
      </c>
      <c r="G27" s="24" t="s">
        <v>5</v>
      </c>
      <c r="H27" s="25">
        <v>33500</v>
      </c>
      <c r="I27" s="25">
        <v>33500</v>
      </c>
      <c r="J27" s="25"/>
      <c r="K27" s="25"/>
      <c r="L27" s="26">
        <f t="shared" si="1"/>
        <v>0</v>
      </c>
      <c r="M27" s="25">
        <v>67000</v>
      </c>
      <c r="N27" s="24" t="str">
        <f t="shared" si="2"/>
        <v>ปิดทุน</v>
      </c>
      <c r="O27" s="24"/>
    </row>
    <row r="28" spans="1:16" ht="96">
      <c r="A28" s="16">
        <f t="shared" si="0"/>
        <v>25</v>
      </c>
      <c r="B28" s="23" t="s">
        <v>363</v>
      </c>
      <c r="C28" s="37" t="s">
        <v>9</v>
      </c>
      <c r="D28" s="35" t="s">
        <v>364</v>
      </c>
      <c r="E28" s="36" t="s">
        <v>365</v>
      </c>
      <c r="F28" s="24" t="s">
        <v>524</v>
      </c>
      <c r="G28" s="24" t="s">
        <v>5</v>
      </c>
      <c r="H28" s="25">
        <v>33500</v>
      </c>
      <c r="I28" s="25">
        <v>33500</v>
      </c>
      <c r="J28" s="25"/>
      <c r="K28" s="25"/>
      <c r="L28" s="26">
        <f t="shared" si="1"/>
        <v>0</v>
      </c>
      <c r="M28" s="25">
        <v>67000</v>
      </c>
      <c r="N28" s="24" t="str">
        <f t="shared" si="2"/>
        <v>ปิดทุน</v>
      </c>
      <c r="O28" s="24"/>
      <c r="P28" s="5" t="s">
        <v>552</v>
      </c>
    </row>
    <row r="29" spans="1:16" ht="96">
      <c r="A29" s="16">
        <f t="shared" si="0"/>
        <v>26</v>
      </c>
      <c r="B29" s="23" t="s">
        <v>366</v>
      </c>
      <c r="C29" s="37" t="s">
        <v>33</v>
      </c>
      <c r="D29" s="35" t="s">
        <v>367</v>
      </c>
      <c r="E29" s="36" t="s">
        <v>368</v>
      </c>
      <c r="F29" s="24" t="s">
        <v>524</v>
      </c>
      <c r="G29" s="24" t="s">
        <v>5</v>
      </c>
      <c r="H29" s="25">
        <v>33500</v>
      </c>
      <c r="I29" s="25">
        <v>33500</v>
      </c>
      <c r="J29" s="25"/>
      <c r="K29" s="25"/>
      <c r="L29" s="26">
        <f t="shared" si="1"/>
        <v>0</v>
      </c>
      <c r="M29" s="25">
        <v>67000</v>
      </c>
      <c r="N29" s="24" t="str">
        <f t="shared" si="2"/>
        <v>ปิดทุน</v>
      </c>
      <c r="O29" s="24"/>
    </row>
    <row r="30" spans="1:16" ht="72">
      <c r="A30" s="16">
        <f t="shared" si="0"/>
        <v>27</v>
      </c>
      <c r="B30" s="23" t="s">
        <v>369</v>
      </c>
      <c r="C30" s="37" t="s">
        <v>9</v>
      </c>
      <c r="D30" s="35" t="s">
        <v>370</v>
      </c>
      <c r="E30" s="36" t="s">
        <v>371</v>
      </c>
      <c r="F30" s="24" t="s">
        <v>524</v>
      </c>
      <c r="G30" s="24" t="s">
        <v>5</v>
      </c>
      <c r="H30" s="25">
        <v>33500</v>
      </c>
      <c r="I30" s="25">
        <v>33500</v>
      </c>
      <c r="J30" s="25"/>
      <c r="K30" s="25"/>
      <c r="L30" s="26">
        <f t="shared" si="1"/>
        <v>0</v>
      </c>
      <c r="M30" s="25">
        <v>67000</v>
      </c>
      <c r="N30" s="24" t="str">
        <f t="shared" si="2"/>
        <v>ปิดทุน</v>
      </c>
      <c r="O30" s="24"/>
      <c r="P30" s="5" t="s">
        <v>987</v>
      </c>
    </row>
    <row r="31" spans="1:16" ht="96">
      <c r="A31" s="16">
        <f t="shared" si="0"/>
        <v>28</v>
      </c>
      <c r="B31" s="23" t="s">
        <v>372</v>
      </c>
      <c r="C31" s="37" t="s">
        <v>13</v>
      </c>
      <c r="D31" s="35" t="s">
        <v>17</v>
      </c>
      <c r="E31" s="36" t="s">
        <v>18</v>
      </c>
      <c r="F31" s="24" t="s">
        <v>524</v>
      </c>
      <c r="G31" s="24" t="s">
        <v>5</v>
      </c>
      <c r="H31" s="25">
        <v>33500</v>
      </c>
      <c r="I31" s="25">
        <v>13400</v>
      </c>
      <c r="J31" s="25">
        <v>20100</v>
      </c>
      <c r="K31" s="25"/>
      <c r="L31" s="26">
        <f t="shared" si="1"/>
        <v>0</v>
      </c>
      <c r="M31" s="25">
        <v>67000</v>
      </c>
      <c r="N31" s="24" t="str">
        <f t="shared" si="2"/>
        <v>ปิดทุน</v>
      </c>
      <c r="O31" s="24"/>
    </row>
    <row r="32" spans="1:16" ht="96">
      <c r="A32" s="16">
        <f t="shared" si="0"/>
        <v>29</v>
      </c>
      <c r="B32" s="23" t="s">
        <v>373</v>
      </c>
      <c r="C32" s="37" t="s">
        <v>9</v>
      </c>
      <c r="D32" s="35" t="s">
        <v>152</v>
      </c>
      <c r="E32" s="36" t="s">
        <v>374</v>
      </c>
      <c r="F32" s="24" t="s">
        <v>524</v>
      </c>
      <c r="G32" s="24" t="s">
        <v>5</v>
      </c>
      <c r="H32" s="25">
        <v>33500</v>
      </c>
      <c r="I32" s="25">
        <v>33500</v>
      </c>
      <c r="J32" s="25"/>
      <c r="K32" s="25"/>
      <c r="L32" s="26">
        <f t="shared" si="1"/>
        <v>0</v>
      </c>
      <c r="M32" s="25">
        <v>67000</v>
      </c>
      <c r="N32" s="24" t="str">
        <f t="shared" si="2"/>
        <v>ปิดทุน</v>
      </c>
      <c r="O32" s="24"/>
    </row>
    <row r="33" spans="1:20" ht="120">
      <c r="A33" s="16">
        <f t="shared" si="0"/>
        <v>30</v>
      </c>
      <c r="B33" s="23" t="s">
        <v>375</v>
      </c>
      <c r="C33" s="37" t="s">
        <v>13</v>
      </c>
      <c r="D33" s="35" t="s">
        <v>14</v>
      </c>
      <c r="E33" s="36" t="s">
        <v>374</v>
      </c>
      <c r="F33" s="24" t="s">
        <v>524</v>
      </c>
      <c r="G33" s="24" t="s">
        <v>5</v>
      </c>
      <c r="H33" s="25">
        <v>33500</v>
      </c>
      <c r="I33" s="25">
        <v>33500</v>
      </c>
      <c r="J33" s="25"/>
      <c r="K33" s="25"/>
      <c r="L33" s="26">
        <f t="shared" si="1"/>
        <v>0</v>
      </c>
      <c r="M33" s="25">
        <v>67000</v>
      </c>
      <c r="N33" s="24" t="str">
        <f t="shared" si="2"/>
        <v>ปิดทุน</v>
      </c>
      <c r="O33" s="24"/>
    </row>
    <row r="34" spans="1:20" ht="96">
      <c r="A34" s="16">
        <f t="shared" si="0"/>
        <v>31</v>
      </c>
      <c r="B34" s="23" t="s">
        <v>376</v>
      </c>
      <c r="C34" s="37" t="s">
        <v>9</v>
      </c>
      <c r="D34" s="35" t="s">
        <v>377</v>
      </c>
      <c r="E34" s="36" t="s">
        <v>378</v>
      </c>
      <c r="F34" s="24" t="s">
        <v>524</v>
      </c>
      <c r="G34" s="24" t="s">
        <v>5</v>
      </c>
      <c r="H34" s="25">
        <v>33500</v>
      </c>
      <c r="I34" s="25">
        <v>33500</v>
      </c>
      <c r="J34" s="25"/>
      <c r="K34" s="25"/>
      <c r="L34" s="26">
        <f t="shared" si="1"/>
        <v>0</v>
      </c>
      <c r="M34" s="25">
        <v>67000</v>
      </c>
      <c r="N34" s="24" t="str">
        <f t="shared" si="2"/>
        <v>ปิดทุน</v>
      </c>
      <c r="O34" s="24"/>
    </row>
    <row r="35" spans="1:20" ht="48">
      <c r="A35" s="16">
        <f t="shared" si="0"/>
        <v>32</v>
      </c>
      <c r="B35" s="23" t="s">
        <v>379</v>
      </c>
      <c r="C35" s="37" t="s">
        <v>9</v>
      </c>
      <c r="D35" s="35" t="s">
        <v>380</v>
      </c>
      <c r="E35" s="36" t="s">
        <v>381</v>
      </c>
      <c r="F35" s="24" t="s">
        <v>524</v>
      </c>
      <c r="G35" s="24" t="s">
        <v>5</v>
      </c>
      <c r="H35" s="25">
        <v>33500</v>
      </c>
      <c r="I35" s="25">
        <v>33500</v>
      </c>
      <c r="J35" s="25"/>
      <c r="K35" s="25"/>
      <c r="L35" s="26">
        <f t="shared" si="1"/>
        <v>0</v>
      </c>
      <c r="M35" s="25">
        <v>67000</v>
      </c>
      <c r="N35" s="24" t="str">
        <f t="shared" si="2"/>
        <v>ปิดทุน</v>
      </c>
      <c r="O35" s="24"/>
    </row>
    <row r="36" spans="1:20" ht="96">
      <c r="A36" s="16">
        <f t="shared" si="0"/>
        <v>33</v>
      </c>
      <c r="B36" s="23" t="s">
        <v>382</v>
      </c>
      <c r="C36" s="37" t="s">
        <v>13</v>
      </c>
      <c r="D36" s="35" t="s">
        <v>190</v>
      </c>
      <c r="E36" s="36" t="s">
        <v>191</v>
      </c>
      <c r="F36" s="24" t="s">
        <v>525</v>
      </c>
      <c r="G36" s="24" t="s">
        <v>5</v>
      </c>
      <c r="H36" s="25">
        <v>33500</v>
      </c>
      <c r="I36" s="25">
        <v>33500</v>
      </c>
      <c r="J36" s="25"/>
      <c r="K36" s="25"/>
      <c r="L36" s="26">
        <f t="shared" si="1"/>
        <v>0</v>
      </c>
      <c r="M36" s="25">
        <v>67000</v>
      </c>
      <c r="N36" s="24" t="str">
        <f t="shared" ref="N36:N43" si="3">IF(L36=0,"ปิดทุน",IF(L36&lt;0,"ยังไม่ปิดทุน","เกินทุน"))</f>
        <v>ปิดทุน</v>
      </c>
      <c r="O36" s="24"/>
    </row>
    <row r="37" spans="1:20" ht="96">
      <c r="A37" s="16">
        <f t="shared" si="0"/>
        <v>34</v>
      </c>
      <c r="B37" s="23" t="s">
        <v>383</v>
      </c>
      <c r="C37" s="37" t="s">
        <v>9</v>
      </c>
      <c r="D37" s="35" t="s">
        <v>81</v>
      </c>
      <c r="E37" s="36" t="s">
        <v>82</v>
      </c>
      <c r="F37" s="24" t="s">
        <v>526</v>
      </c>
      <c r="G37" s="24" t="s">
        <v>5</v>
      </c>
      <c r="H37" s="25">
        <v>41500</v>
      </c>
      <c r="I37" s="25">
        <v>16600</v>
      </c>
      <c r="J37" s="25">
        <v>24900</v>
      </c>
      <c r="K37" s="25"/>
      <c r="L37" s="26">
        <f t="shared" si="1"/>
        <v>0</v>
      </c>
      <c r="M37" s="25">
        <v>83000</v>
      </c>
      <c r="N37" s="24" t="str">
        <f t="shared" si="3"/>
        <v>ปิดทุน</v>
      </c>
      <c r="O37" s="24"/>
    </row>
    <row r="38" spans="1:20" ht="96">
      <c r="A38" s="16">
        <f t="shared" si="0"/>
        <v>35</v>
      </c>
      <c r="B38" s="23" t="s">
        <v>384</v>
      </c>
      <c r="C38" s="37" t="s">
        <v>33</v>
      </c>
      <c r="D38" s="35" t="s">
        <v>221</v>
      </c>
      <c r="E38" s="36" t="s">
        <v>222</v>
      </c>
      <c r="F38" s="24" t="s">
        <v>526</v>
      </c>
      <c r="G38" s="24" t="s">
        <v>5</v>
      </c>
      <c r="H38" s="25">
        <v>41500</v>
      </c>
      <c r="I38" s="25">
        <v>41500</v>
      </c>
      <c r="J38" s="25"/>
      <c r="K38" s="25"/>
      <c r="L38" s="26">
        <f t="shared" si="1"/>
        <v>0</v>
      </c>
      <c r="M38" s="25">
        <v>83000</v>
      </c>
      <c r="N38" s="24" t="str">
        <f t="shared" si="3"/>
        <v>ปิดทุน</v>
      </c>
      <c r="O38" s="24"/>
    </row>
    <row r="39" spans="1:20" ht="72">
      <c r="A39" s="16">
        <f t="shared" si="0"/>
        <v>36</v>
      </c>
      <c r="B39" s="23" t="s">
        <v>385</v>
      </c>
      <c r="C39" s="37" t="s">
        <v>33</v>
      </c>
      <c r="D39" s="35" t="s">
        <v>386</v>
      </c>
      <c r="E39" s="36" t="s">
        <v>387</v>
      </c>
      <c r="F39" s="24" t="s">
        <v>526</v>
      </c>
      <c r="G39" s="24" t="s">
        <v>5</v>
      </c>
      <c r="H39" s="25">
        <v>41500</v>
      </c>
      <c r="I39" s="25">
        <v>41500</v>
      </c>
      <c r="J39" s="25"/>
      <c r="K39" s="25"/>
      <c r="L39" s="26">
        <f t="shared" si="1"/>
        <v>0</v>
      </c>
      <c r="M39" s="25">
        <v>83000</v>
      </c>
      <c r="N39" s="24" t="str">
        <f t="shared" si="3"/>
        <v>ปิดทุน</v>
      </c>
      <c r="O39" s="24" t="s">
        <v>889</v>
      </c>
    </row>
    <row r="40" spans="1:20" ht="72">
      <c r="A40" s="16">
        <f t="shared" si="0"/>
        <v>37</v>
      </c>
      <c r="B40" s="23" t="s">
        <v>388</v>
      </c>
      <c r="C40" s="37" t="s">
        <v>9</v>
      </c>
      <c r="D40" s="35" t="s">
        <v>84</v>
      </c>
      <c r="E40" s="36" t="s">
        <v>85</v>
      </c>
      <c r="F40" s="24" t="s">
        <v>526</v>
      </c>
      <c r="G40" s="24" t="s">
        <v>5</v>
      </c>
      <c r="H40" s="25">
        <v>41500</v>
      </c>
      <c r="I40" s="25">
        <v>41500</v>
      </c>
      <c r="J40" s="25"/>
      <c r="K40" s="25"/>
      <c r="L40" s="26">
        <f t="shared" si="1"/>
        <v>0</v>
      </c>
      <c r="M40" s="25">
        <v>83000</v>
      </c>
      <c r="N40" s="24" t="str">
        <f t="shared" si="3"/>
        <v>ปิดทุน</v>
      </c>
      <c r="O40" s="24"/>
    </row>
    <row r="41" spans="1:20" ht="129" customHeight="1">
      <c r="A41" s="16">
        <f t="shared" si="0"/>
        <v>38</v>
      </c>
      <c r="B41" s="23" t="s">
        <v>389</v>
      </c>
      <c r="C41" s="37" t="s">
        <v>329</v>
      </c>
      <c r="D41" s="35" t="s">
        <v>390</v>
      </c>
      <c r="E41" s="36" t="s">
        <v>391</v>
      </c>
      <c r="F41" s="24" t="s">
        <v>526</v>
      </c>
      <c r="G41" s="24" t="s">
        <v>5</v>
      </c>
      <c r="H41" s="25">
        <v>41500</v>
      </c>
      <c r="I41" s="25">
        <v>41500</v>
      </c>
      <c r="J41" s="25"/>
      <c r="K41" s="25"/>
      <c r="L41" s="26">
        <f t="shared" si="1"/>
        <v>0</v>
      </c>
      <c r="M41" s="25">
        <v>83000</v>
      </c>
      <c r="N41" s="24" t="str">
        <f t="shared" si="3"/>
        <v>ปิดทุน</v>
      </c>
      <c r="O41" s="138" t="s">
        <v>883</v>
      </c>
      <c r="T41" s="6" t="s">
        <v>880</v>
      </c>
    </row>
    <row r="42" spans="1:20" ht="144">
      <c r="A42" s="16">
        <f t="shared" si="0"/>
        <v>39</v>
      </c>
      <c r="B42" s="23" t="s">
        <v>392</v>
      </c>
      <c r="C42" s="37" t="s">
        <v>58</v>
      </c>
      <c r="D42" s="35" t="s">
        <v>393</v>
      </c>
      <c r="E42" s="36" t="s">
        <v>394</v>
      </c>
      <c r="F42" s="24" t="s">
        <v>520</v>
      </c>
      <c r="G42" s="24" t="s">
        <v>5</v>
      </c>
      <c r="H42" s="25">
        <v>27500</v>
      </c>
      <c r="I42" s="25">
        <v>27500</v>
      </c>
      <c r="J42" s="25"/>
      <c r="K42" s="25"/>
      <c r="L42" s="26">
        <f t="shared" si="1"/>
        <v>0</v>
      </c>
      <c r="M42" s="25">
        <v>55000</v>
      </c>
      <c r="N42" s="24" t="str">
        <f t="shared" si="3"/>
        <v>ปิดทุน</v>
      </c>
      <c r="O42" s="24"/>
    </row>
    <row r="43" spans="1:20" ht="96">
      <c r="A43" s="16">
        <f t="shared" si="0"/>
        <v>40</v>
      </c>
      <c r="B43" s="23" t="s">
        <v>395</v>
      </c>
      <c r="C43" s="37" t="s">
        <v>114</v>
      </c>
      <c r="D43" s="35" t="s">
        <v>193</v>
      </c>
      <c r="E43" s="36" t="s">
        <v>194</v>
      </c>
      <c r="F43" s="24" t="s">
        <v>520</v>
      </c>
      <c r="G43" s="24" t="s">
        <v>5</v>
      </c>
      <c r="H43" s="25">
        <v>27500</v>
      </c>
      <c r="I43" s="25">
        <v>11000</v>
      </c>
      <c r="J43" s="25">
        <v>16500</v>
      </c>
      <c r="K43" s="25"/>
      <c r="L43" s="26">
        <f t="shared" si="1"/>
        <v>0</v>
      </c>
      <c r="M43" s="25">
        <v>55000</v>
      </c>
      <c r="N43" s="24" t="str">
        <f t="shared" si="3"/>
        <v>ปิดทุน</v>
      </c>
      <c r="O43" s="24"/>
    </row>
    <row r="44" spans="1:20">
      <c r="B44" s="5"/>
    </row>
    <row r="45" spans="1:20">
      <c r="B45" s="5"/>
    </row>
    <row r="46" spans="1:20">
      <c r="B46" s="5"/>
    </row>
    <row r="47" spans="1:20">
      <c r="B47" s="5"/>
    </row>
    <row r="48" spans="1:20">
      <c r="B48" s="5"/>
    </row>
    <row r="49" spans="2:13">
      <c r="B49" s="5"/>
    </row>
    <row r="50" spans="2:13">
      <c r="B50" s="5"/>
    </row>
    <row r="51" spans="2:13">
      <c r="B51" s="5"/>
    </row>
    <row r="52" spans="2:13">
      <c r="B52" s="5"/>
      <c r="L52" s="5"/>
      <c r="M52" s="5"/>
    </row>
    <row r="53" spans="2:13">
      <c r="B53" s="5"/>
      <c r="L53" s="5"/>
      <c r="M53" s="5"/>
    </row>
    <row r="54" spans="2:13">
      <c r="B54" s="5"/>
      <c r="L54" s="5"/>
      <c r="M54" s="5"/>
    </row>
    <row r="55" spans="2:13">
      <c r="B55" s="5"/>
      <c r="L55" s="5"/>
      <c r="M55" s="5"/>
    </row>
    <row r="56" spans="2:13">
      <c r="B56" s="5"/>
      <c r="L56" s="5"/>
      <c r="M56" s="5"/>
    </row>
    <row r="57" spans="2:13">
      <c r="B57" s="5"/>
      <c r="L57" s="5"/>
      <c r="M57" s="5"/>
    </row>
    <row r="58" spans="2:13">
      <c r="B58" s="5"/>
      <c r="L58" s="5"/>
      <c r="M58" s="5"/>
    </row>
    <row r="59" spans="2:13">
      <c r="B59" s="5"/>
      <c r="L59" s="5"/>
      <c r="M59" s="5"/>
    </row>
    <row r="60" spans="2:13">
      <c r="B60" s="5"/>
      <c r="L60" s="5"/>
      <c r="M60" s="5"/>
    </row>
    <row r="61" spans="2:13">
      <c r="B61" s="5"/>
      <c r="L61" s="5"/>
      <c r="M61" s="5"/>
    </row>
    <row r="62" spans="2:13">
      <c r="B62" s="5"/>
      <c r="L62" s="5"/>
      <c r="M62" s="5"/>
    </row>
    <row r="63" spans="2:13">
      <c r="B63" s="5"/>
      <c r="L63" s="5"/>
      <c r="M63" s="5"/>
    </row>
    <row r="64" spans="2:13">
      <c r="B64" s="5"/>
      <c r="L64" s="5"/>
      <c r="M64" s="5"/>
    </row>
    <row r="65" spans="2:13">
      <c r="B65" s="5"/>
      <c r="L65" s="5"/>
      <c r="M65" s="5"/>
    </row>
    <row r="66" spans="2:13">
      <c r="B66" s="5"/>
      <c r="L66" s="5"/>
      <c r="M66" s="5"/>
    </row>
    <row r="67" spans="2:13">
      <c r="B67" s="5"/>
      <c r="H67" s="5"/>
      <c r="I67" s="5"/>
      <c r="J67" s="5"/>
      <c r="K67" s="5"/>
      <c r="L67" s="5"/>
      <c r="M67" s="5"/>
    </row>
    <row r="68" spans="2:13">
      <c r="B68" s="5"/>
      <c r="H68" s="5"/>
      <c r="I68" s="5"/>
      <c r="J68" s="5"/>
      <c r="K68" s="5"/>
      <c r="L68" s="5"/>
      <c r="M68" s="5"/>
    </row>
    <row r="69" spans="2:13">
      <c r="B69" s="5"/>
      <c r="H69" s="5"/>
      <c r="I69" s="5"/>
      <c r="J69" s="5"/>
      <c r="K69" s="5"/>
      <c r="L69" s="5"/>
      <c r="M69" s="5"/>
    </row>
    <row r="70" spans="2:13">
      <c r="B70" s="5"/>
      <c r="H70" s="5"/>
      <c r="I70" s="5"/>
      <c r="J70" s="5"/>
      <c r="K70" s="5"/>
      <c r="L70" s="5"/>
      <c r="M70" s="5"/>
    </row>
    <row r="71" spans="2:13">
      <c r="B71" s="5"/>
      <c r="H71" s="5"/>
      <c r="I71" s="5"/>
      <c r="J71" s="5"/>
      <c r="K71" s="5"/>
      <c r="L71" s="5"/>
      <c r="M71" s="5"/>
    </row>
    <row r="72" spans="2:13">
      <c r="B72" s="5"/>
      <c r="H72" s="5"/>
      <c r="I72" s="5"/>
      <c r="J72" s="5"/>
      <c r="K72" s="5"/>
      <c r="L72" s="5"/>
      <c r="M72" s="5"/>
    </row>
    <row r="73" spans="2:13">
      <c r="B73" s="5"/>
      <c r="H73" s="5"/>
      <c r="I73" s="5"/>
      <c r="J73" s="5"/>
      <c r="K73" s="5"/>
      <c r="L73" s="5"/>
      <c r="M73" s="5"/>
    </row>
    <row r="74" spans="2:13">
      <c r="B74" s="5"/>
      <c r="H74" s="5"/>
      <c r="I74" s="5"/>
      <c r="J74" s="5"/>
      <c r="K74" s="5"/>
      <c r="L74" s="5"/>
      <c r="M74" s="5"/>
    </row>
    <row r="75" spans="2:13">
      <c r="B75" s="5"/>
      <c r="H75" s="5"/>
      <c r="I75" s="5"/>
      <c r="J75" s="5"/>
      <c r="K75" s="5"/>
      <c r="L75" s="5"/>
      <c r="M75" s="5"/>
    </row>
    <row r="76" spans="2:13">
      <c r="B76" s="5"/>
      <c r="H76" s="5"/>
      <c r="I76" s="5"/>
      <c r="J76" s="5"/>
      <c r="K76" s="5"/>
      <c r="L76" s="5"/>
      <c r="M76" s="5"/>
    </row>
    <row r="77" spans="2:13">
      <c r="B77" s="5"/>
      <c r="H77" s="5"/>
      <c r="I77" s="5"/>
      <c r="J77" s="5"/>
      <c r="K77" s="5"/>
      <c r="L77" s="5"/>
      <c r="M77" s="5"/>
    </row>
    <row r="78" spans="2:13">
      <c r="B78" s="5"/>
      <c r="H78" s="5"/>
      <c r="I78" s="5"/>
      <c r="J78" s="5"/>
      <c r="K78" s="5"/>
      <c r="L78" s="5"/>
      <c r="M78" s="5"/>
    </row>
  </sheetData>
  <mergeCells count="9">
    <mergeCell ref="A1:O1"/>
    <mergeCell ref="H2:M2"/>
    <mergeCell ref="N2:N3"/>
    <mergeCell ref="O2:O3"/>
    <mergeCell ref="A2:A3"/>
    <mergeCell ref="B2:B3"/>
    <mergeCell ref="C2:E3"/>
    <mergeCell ref="F2:F3"/>
    <mergeCell ref="G2:G3"/>
  </mergeCells>
  <hyperlinks>
    <hyperlink ref="O41" r:id="rId1" xr:uid="{0A552C44-A4C1-49B2-B661-D03C67CB3D90}"/>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6699"/>
  </sheetPr>
  <dimension ref="A1:U87"/>
  <sheetViews>
    <sheetView zoomScale="60" zoomScaleNormal="60" workbookViewId="0">
      <selection activeCell="A2" sqref="A2:A3"/>
    </sheetView>
  </sheetViews>
  <sheetFormatPr defaultColWidth="9" defaultRowHeight="24"/>
  <cols>
    <col min="1" max="1" width="7.33203125" style="7" customWidth="1"/>
    <col min="2" max="2" width="55.33203125" style="6" customWidth="1"/>
    <col min="3" max="3" width="9.44140625" style="5" bestFit="1" customWidth="1"/>
    <col min="4" max="4" width="9" style="73" bestFit="1" customWidth="1"/>
    <col min="5" max="5" width="13.5546875" style="73" bestFit="1" customWidth="1"/>
    <col min="6" max="6" width="7" style="5" bestFit="1" customWidth="1"/>
    <col min="7" max="7" width="32.5546875" style="5" customWidth="1"/>
    <col min="8" max="8" width="15.109375" style="8" bestFit="1" customWidth="1"/>
    <col min="9" max="10" width="17" style="8" bestFit="1" customWidth="1"/>
    <col min="11" max="12" width="15.109375" style="8" customWidth="1"/>
    <col min="13" max="13" width="19" style="9" bestFit="1" customWidth="1"/>
    <col min="14" max="14" width="21.88671875" style="8" customWidth="1"/>
    <col min="15" max="15" width="9.5546875" style="30" bestFit="1" customWidth="1"/>
    <col min="16" max="16" width="36.33203125" style="5" customWidth="1"/>
    <col min="17" max="17" width="22.44140625" style="5" customWidth="1"/>
    <col min="18" max="16384" width="9" style="5"/>
  </cols>
  <sheetData>
    <row r="1" spans="1:21" s="2" customFormat="1" ht="27">
      <c r="A1" s="393" t="s">
        <v>511</v>
      </c>
      <c r="B1" s="393"/>
      <c r="C1" s="393"/>
      <c r="D1" s="393"/>
      <c r="E1" s="393"/>
      <c r="F1" s="393"/>
      <c r="G1" s="393"/>
      <c r="H1" s="393"/>
      <c r="I1" s="393"/>
      <c r="J1" s="393"/>
      <c r="K1" s="393"/>
      <c r="L1" s="393"/>
      <c r="M1" s="393"/>
      <c r="N1" s="393"/>
      <c r="O1" s="393"/>
      <c r="P1" s="393"/>
    </row>
    <row r="2" spans="1:21" s="2" customFormat="1">
      <c r="A2" s="410" t="s">
        <v>0</v>
      </c>
      <c r="B2" s="411" t="s">
        <v>1</v>
      </c>
      <c r="C2" s="410" t="s">
        <v>2</v>
      </c>
      <c r="D2" s="410"/>
      <c r="E2" s="410"/>
      <c r="F2" s="410" t="s">
        <v>4</v>
      </c>
      <c r="G2" s="410" t="s">
        <v>3</v>
      </c>
      <c r="H2" s="394" t="s">
        <v>6</v>
      </c>
      <c r="I2" s="394"/>
      <c r="J2" s="394"/>
      <c r="K2" s="394"/>
      <c r="L2" s="395"/>
      <c r="M2" s="394"/>
      <c r="N2" s="394"/>
      <c r="O2" s="396" t="s">
        <v>11</v>
      </c>
      <c r="P2" s="410" t="s">
        <v>500</v>
      </c>
    </row>
    <row r="3" spans="1:21" s="7" customFormat="1">
      <c r="A3" s="410"/>
      <c r="B3" s="411"/>
      <c r="C3" s="410"/>
      <c r="D3" s="410"/>
      <c r="E3" s="410"/>
      <c r="F3" s="410"/>
      <c r="G3" s="410"/>
      <c r="H3" s="3" t="s">
        <v>65</v>
      </c>
      <c r="I3" s="3" t="s">
        <v>66</v>
      </c>
      <c r="J3" s="3" t="s">
        <v>67</v>
      </c>
      <c r="K3" s="3" t="s">
        <v>396</v>
      </c>
      <c r="L3" s="94" t="s">
        <v>550</v>
      </c>
      <c r="M3" s="4" t="s">
        <v>68</v>
      </c>
      <c r="N3" s="3" t="s">
        <v>6</v>
      </c>
      <c r="O3" s="397"/>
      <c r="P3" s="410"/>
    </row>
    <row r="4" spans="1:21" ht="72">
      <c r="A4" s="16">
        <f>ROW(A1)</f>
        <v>1</v>
      </c>
      <c r="B4" s="17" t="s">
        <v>405</v>
      </c>
      <c r="C4" s="40" t="s">
        <v>9</v>
      </c>
      <c r="D4" s="72" t="s">
        <v>299</v>
      </c>
      <c r="E4" s="74" t="s">
        <v>300</v>
      </c>
      <c r="F4" s="18" t="s">
        <v>522</v>
      </c>
      <c r="G4" s="18" t="s">
        <v>5</v>
      </c>
      <c r="H4" s="19">
        <v>50000</v>
      </c>
      <c r="I4" s="19">
        <v>50000</v>
      </c>
      <c r="J4" s="19"/>
      <c r="K4" s="19"/>
      <c r="L4" s="19">
        <f>H4+I4+J4</f>
        <v>100000</v>
      </c>
      <c r="M4" s="20">
        <f t="shared" ref="M4:M33" si="0">H4+I4+J4-N4</f>
        <v>0</v>
      </c>
      <c r="N4" s="19">
        <v>100000</v>
      </c>
      <c r="O4" s="21" t="str">
        <f>IF(M4=0,"ปิดทุน",IF(M4&lt;0,"ยังไม่ปิดทุน","เกินทุน"))</f>
        <v>ปิดทุน</v>
      </c>
      <c r="P4" s="18" t="s">
        <v>988</v>
      </c>
      <c r="Q4" s="8" t="s">
        <v>1178</v>
      </c>
      <c r="U4" s="5" t="s">
        <v>1179</v>
      </c>
    </row>
    <row r="5" spans="1:21" ht="72">
      <c r="A5" s="16">
        <f t="shared" ref="A5:A26" si="1">ROW(A2)</f>
        <v>2</v>
      </c>
      <c r="B5" s="23" t="s">
        <v>406</v>
      </c>
      <c r="C5" s="41" t="s">
        <v>9</v>
      </c>
      <c r="D5" s="53" t="s">
        <v>111</v>
      </c>
      <c r="E5" s="54" t="s">
        <v>112</v>
      </c>
      <c r="F5" s="24" t="s">
        <v>522</v>
      </c>
      <c r="G5" s="24" t="s">
        <v>5</v>
      </c>
      <c r="H5" s="25">
        <v>50000</v>
      </c>
      <c r="I5" s="25">
        <v>50000</v>
      </c>
      <c r="J5" s="25"/>
      <c r="K5" s="25"/>
      <c r="L5" s="19">
        <f t="shared" ref="L5:L33" si="2">H5+I5+J5</f>
        <v>100000</v>
      </c>
      <c r="M5" s="20">
        <f t="shared" si="0"/>
        <v>0</v>
      </c>
      <c r="N5" s="25">
        <v>100000</v>
      </c>
      <c r="O5" s="27" t="str">
        <f t="shared" ref="O5:O26" si="3">IF(M5=0,"ปิดทุน",IF(M5&lt;0,"ยังไม่ปิดทุน","เกินทุน"))</f>
        <v>ปิดทุน</v>
      </c>
      <c r="P5" s="24"/>
      <c r="Q5" s="116" t="s">
        <v>755</v>
      </c>
    </row>
    <row r="6" spans="1:21" ht="72">
      <c r="A6" s="16">
        <f t="shared" si="1"/>
        <v>3</v>
      </c>
      <c r="B6" s="23" t="s">
        <v>505</v>
      </c>
      <c r="C6" s="41" t="s">
        <v>9</v>
      </c>
      <c r="D6" s="53" t="s">
        <v>322</v>
      </c>
      <c r="E6" s="54" t="s">
        <v>323</v>
      </c>
      <c r="F6" s="24" t="s">
        <v>522</v>
      </c>
      <c r="G6" s="24" t="s">
        <v>5</v>
      </c>
      <c r="H6" s="25">
        <v>50000</v>
      </c>
      <c r="I6" s="25">
        <v>50000</v>
      </c>
      <c r="J6" s="25"/>
      <c r="K6" s="25"/>
      <c r="L6" s="19">
        <f t="shared" si="2"/>
        <v>100000</v>
      </c>
      <c r="M6" s="20">
        <f t="shared" si="0"/>
        <v>0</v>
      </c>
      <c r="N6" s="25">
        <v>100000</v>
      </c>
      <c r="O6" s="27" t="str">
        <f t="shared" si="3"/>
        <v>ปิดทุน</v>
      </c>
      <c r="P6" s="28"/>
    </row>
    <row r="7" spans="1:21" ht="72">
      <c r="A7" s="16">
        <f t="shared" si="1"/>
        <v>4</v>
      </c>
      <c r="B7" s="23" t="s">
        <v>407</v>
      </c>
      <c r="C7" s="42" t="s">
        <v>33</v>
      </c>
      <c r="D7" s="53" t="s">
        <v>108</v>
      </c>
      <c r="E7" s="54" t="s">
        <v>109</v>
      </c>
      <c r="F7" s="24" t="s">
        <v>522</v>
      </c>
      <c r="G7" s="24" t="s">
        <v>5</v>
      </c>
      <c r="H7" s="25">
        <v>50000</v>
      </c>
      <c r="I7" s="25">
        <v>50000</v>
      </c>
      <c r="J7" s="25"/>
      <c r="K7" s="25"/>
      <c r="L7" s="19">
        <f t="shared" si="2"/>
        <v>100000</v>
      </c>
      <c r="M7" s="20">
        <f t="shared" si="0"/>
        <v>0</v>
      </c>
      <c r="N7" s="25">
        <v>100000</v>
      </c>
      <c r="O7" s="27" t="str">
        <f t="shared" si="3"/>
        <v>ปิดทุน</v>
      </c>
      <c r="P7" s="24"/>
    </row>
    <row r="8" spans="1:21" ht="48">
      <c r="A8" s="16">
        <f t="shared" si="1"/>
        <v>5</v>
      </c>
      <c r="B8" s="23" t="s">
        <v>408</v>
      </c>
      <c r="C8" s="42" t="s">
        <v>13</v>
      </c>
      <c r="D8" s="53" t="s">
        <v>24</v>
      </c>
      <c r="E8" s="54" t="s">
        <v>25</v>
      </c>
      <c r="F8" s="24" t="s">
        <v>519</v>
      </c>
      <c r="G8" s="24" t="s">
        <v>5</v>
      </c>
      <c r="H8" s="25">
        <v>44500</v>
      </c>
      <c r="I8" s="25">
        <v>44500</v>
      </c>
      <c r="J8" s="25"/>
      <c r="K8" s="25"/>
      <c r="L8" s="19">
        <f>H8+I8+J8</f>
        <v>89000</v>
      </c>
      <c r="M8" s="20">
        <f t="shared" si="0"/>
        <v>0</v>
      </c>
      <c r="N8" s="25">
        <v>89000</v>
      </c>
      <c r="O8" s="27" t="str">
        <f t="shared" si="3"/>
        <v>ปิดทุน</v>
      </c>
      <c r="P8" s="24"/>
      <c r="Q8" s="5" t="s">
        <v>854</v>
      </c>
    </row>
    <row r="9" spans="1:21" ht="72">
      <c r="A9" s="16">
        <f t="shared" si="1"/>
        <v>6</v>
      </c>
      <c r="B9" s="23" t="s">
        <v>409</v>
      </c>
      <c r="C9" s="41" t="s">
        <v>9</v>
      </c>
      <c r="D9" s="53" t="s">
        <v>270</v>
      </c>
      <c r="E9" s="54" t="s">
        <v>271</v>
      </c>
      <c r="F9" s="24" t="s">
        <v>519</v>
      </c>
      <c r="G9" s="24" t="s">
        <v>5</v>
      </c>
      <c r="H9" s="25">
        <v>44500</v>
      </c>
      <c r="I9" s="25">
        <v>44500</v>
      </c>
      <c r="J9" s="25"/>
      <c r="K9" s="25"/>
      <c r="L9" s="19">
        <f t="shared" si="2"/>
        <v>89000</v>
      </c>
      <c r="M9" s="20">
        <f t="shared" si="0"/>
        <v>0</v>
      </c>
      <c r="N9" s="25">
        <v>89000</v>
      </c>
      <c r="O9" s="27" t="str">
        <f t="shared" si="3"/>
        <v>ปิดทุน</v>
      </c>
      <c r="P9" s="24"/>
    </row>
    <row r="10" spans="1:21" ht="72">
      <c r="A10" s="16">
        <f t="shared" si="1"/>
        <v>7</v>
      </c>
      <c r="B10" s="23" t="s">
        <v>410</v>
      </c>
      <c r="C10" s="41" t="s">
        <v>9</v>
      </c>
      <c r="D10" s="53" t="s">
        <v>30</v>
      </c>
      <c r="E10" s="54" t="s">
        <v>31</v>
      </c>
      <c r="F10" s="24" t="s">
        <v>519</v>
      </c>
      <c r="G10" s="24" t="s">
        <v>5</v>
      </c>
      <c r="H10" s="25">
        <v>44500</v>
      </c>
      <c r="I10" s="25">
        <v>44500</v>
      </c>
      <c r="J10" s="25"/>
      <c r="K10" s="25"/>
      <c r="L10" s="19">
        <f t="shared" si="2"/>
        <v>89000</v>
      </c>
      <c r="M10" s="20">
        <f t="shared" si="0"/>
        <v>0</v>
      </c>
      <c r="N10" s="25">
        <v>89000</v>
      </c>
      <c r="O10" s="27" t="str">
        <f t="shared" si="3"/>
        <v>ปิดทุน</v>
      </c>
      <c r="P10" s="24"/>
    </row>
    <row r="11" spans="1:21" ht="48">
      <c r="A11" s="16">
        <f t="shared" si="1"/>
        <v>8</v>
      </c>
      <c r="B11" s="23" t="s">
        <v>411</v>
      </c>
      <c r="C11" s="42" t="s">
        <v>13</v>
      </c>
      <c r="D11" s="53" t="s">
        <v>37</v>
      </c>
      <c r="E11" s="54" t="s">
        <v>38</v>
      </c>
      <c r="F11" s="24" t="s">
        <v>519</v>
      </c>
      <c r="G11" s="24" t="s">
        <v>5</v>
      </c>
      <c r="H11" s="25">
        <v>44500</v>
      </c>
      <c r="I11" s="25">
        <v>44500</v>
      </c>
      <c r="J11" s="25"/>
      <c r="K11" s="25"/>
      <c r="L11" s="19">
        <f t="shared" si="2"/>
        <v>89000</v>
      </c>
      <c r="M11" s="20">
        <f t="shared" si="0"/>
        <v>0</v>
      </c>
      <c r="N11" s="25">
        <v>89000</v>
      </c>
      <c r="O11" s="27" t="str">
        <f t="shared" si="3"/>
        <v>ปิดทุน</v>
      </c>
      <c r="P11" s="24"/>
    </row>
    <row r="12" spans="1:21" ht="72">
      <c r="A12" s="16">
        <f t="shared" si="1"/>
        <v>9</v>
      </c>
      <c r="B12" s="23" t="s">
        <v>412</v>
      </c>
      <c r="C12" s="41" t="s">
        <v>9</v>
      </c>
      <c r="D12" s="53" t="s">
        <v>249</v>
      </c>
      <c r="E12" s="54" t="s">
        <v>250</v>
      </c>
      <c r="F12" s="24" t="s">
        <v>521</v>
      </c>
      <c r="G12" s="24" t="s">
        <v>5</v>
      </c>
      <c r="H12" s="25">
        <v>50000</v>
      </c>
      <c r="I12" s="25">
        <v>50000</v>
      </c>
      <c r="J12" s="25"/>
      <c r="K12" s="25"/>
      <c r="L12" s="19">
        <f t="shared" si="2"/>
        <v>100000</v>
      </c>
      <c r="M12" s="20">
        <f t="shared" si="0"/>
        <v>0</v>
      </c>
      <c r="N12" s="25">
        <v>100000</v>
      </c>
      <c r="O12" s="27" t="str">
        <f t="shared" si="3"/>
        <v>ปิดทุน</v>
      </c>
      <c r="P12" s="24"/>
      <c r="Q12" s="5" t="s">
        <v>548</v>
      </c>
    </row>
    <row r="13" spans="1:21" ht="48">
      <c r="A13" s="16">
        <f t="shared" si="1"/>
        <v>10</v>
      </c>
      <c r="B13" s="23" t="s">
        <v>413</v>
      </c>
      <c r="C13" s="42" t="s">
        <v>168</v>
      </c>
      <c r="D13" s="53" t="s">
        <v>169</v>
      </c>
      <c r="E13" s="54" t="s">
        <v>170</v>
      </c>
      <c r="F13" s="24" t="s">
        <v>521</v>
      </c>
      <c r="G13" s="24" t="s">
        <v>5</v>
      </c>
      <c r="H13" s="25">
        <v>50000</v>
      </c>
      <c r="I13" s="25">
        <v>50000</v>
      </c>
      <c r="J13" s="25"/>
      <c r="K13" s="25"/>
      <c r="L13" s="19">
        <f t="shared" si="2"/>
        <v>100000</v>
      </c>
      <c r="M13" s="20">
        <f t="shared" si="0"/>
        <v>0</v>
      </c>
      <c r="N13" s="25">
        <v>100000</v>
      </c>
      <c r="O13" s="27" t="str">
        <f t="shared" si="3"/>
        <v>ปิดทุน</v>
      </c>
      <c r="P13" s="24"/>
    </row>
    <row r="14" spans="1:21" ht="48">
      <c r="A14" s="16">
        <f t="shared" si="1"/>
        <v>11</v>
      </c>
      <c r="B14" s="23" t="s">
        <v>414</v>
      </c>
      <c r="C14" s="42" t="s">
        <v>43</v>
      </c>
      <c r="D14" s="53" t="s">
        <v>215</v>
      </c>
      <c r="E14" s="54" t="s">
        <v>216</v>
      </c>
      <c r="F14" s="24" t="s">
        <v>523</v>
      </c>
      <c r="G14" s="24" t="s">
        <v>5</v>
      </c>
      <c r="H14" s="25">
        <v>50000</v>
      </c>
      <c r="I14" s="25">
        <v>50000</v>
      </c>
      <c r="J14" s="25"/>
      <c r="K14" s="25"/>
      <c r="L14" s="19">
        <f t="shared" si="2"/>
        <v>100000</v>
      </c>
      <c r="M14" s="20">
        <f t="shared" si="0"/>
        <v>0</v>
      </c>
      <c r="N14" s="25">
        <v>100000</v>
      </c>
      <c r="O14" s="27" t="str">
        <f t="shared" si="3"/>
        <v>ปิดทุน</v>
      </c>
      <c r="P14" s="24"/>
    </row>
    <row r="15" spans="1:21" ht="72">
      <c r="A15" s="16">
        <f t="shared" si="1"/>
        <v>12</v>
      </c>
      <c r="B15" s="23" t="s">
        <v>415</v>
      </c>
      <c r="C15" s="42" t="s">
        <v>13</v>
      </c>
      <c r="D15" s="53" t="s">
        <v>62</v>
      </c>
      <c r="E15" s="54" t="s">
        <v>63</v>
      </c>
      <c r="F15" s="24" t="s">
        <v>523</v>
      </c>
      <c r="G15" s="24" t="s">
        <v>5</v>
      </c>
      <c r="H15" s="25">
        <v>50000</v>
      </c>
      <c r="I15" s="25">
        <v>50000</v>
      </c>
      <c r="J15" s="25"/>
      <c r="K15" s="25"/>
      <c r="L15" s="19">
        <f t="shared" si="2"/>
        <v>100000</v>
      </c>
      <c r="M15" s="20">
        <f t="shared" si="0"/>
        <v>0</v>
      </c>
      <c r="N15" s="25">
        <v>100000</v>
      </c>
      <c r="O15" s="27" t="str">
        <f t="shared" si="3"/>
        <v>ปิดทุน</v>
      </c>
      <c r="P15" s="24"/>
    </row>
    <row r="16" spans="1:21" ht="144">
      <c r="A16" s="16">
        <f t="shared" si="1"/>
        <v>13</v>
      </c>
      <c r="B16" s="23" t="s">
        <v>416</v>
      </c>
      <c r="C16" s="41" t="s">
        <v>9</v>
      </c>
      <c r="D16" s="53" t="s">
        <v>180</v>
      </c>
      <c r="E16" s="54" t="s">
        <v>181</v>
      </c>
      <c r="F16" s="24" t="s">
        <v>523</v>
      </c>
      <c r="G16" s="24" t="s">
        <v>5</v>
      </c>
      <c r="H16" s="25">
        <v>50000</v>
      </c>
      <c r="I16" s="25">
        <v>50000</v>
      </c>
      <c r="J16" s="25"/>
      <c r="K16" s="25"/>
      <c r="L16" s="19">
        <f t="shared" si="2"/>
        <v>100000</v>
      </c>
      <c r="M16" s="20">
        <f t="shared" si="0"/>
        <v>0</v>
      </c>
      <c r="N16" s="25">
        <v>100000</v>
      </c>
      <c r="O16" s="27" t="str">
        <f t="shared" si="3"/>
        <v>ปิดทุน</v>
      </c>
      <c r="P16" s="24"/>
    </row>
    <row r="17" spans="1:17" ht="48">
      <c r="A17" s="16">
        <f t="shared" si="1"/>
        <v>14</v>
      </c>
      <c r="B17" s="23" t="s">
        <v>417</v>
      </c>
      <c r="C17" s="42" t="s">
        <v>58</v>
      </c>
      <c r="D17" s="53" t="s">
        <v>59</v>
      </c>
      <c r="E17" s="54" t="s">
        <v>60</v>
      </c>
      <c r="F17" s="24" t="s">
        <v>520</v>
      </c>
      <c r="G17" s="24" t="s">
        <v>5</v>
      </c>
      <c r="H17" s="25">
        <v>50000</v>
      </c>
      <c r="I17" s="25">
        <v>50000</v>
      </c>
      <c r="J17" s="25"/>
      <c r="K17" s="25"/>
      <c r="L17" s="19">
        <f t="shared" si="2"/>
        <v>100000</v>
      </c>
      <c r="M17" s="20">
        <f t="shared" si="0"/>
        <v>0</v>
      </c>
      <c r="N17" s="25">
        <v>100000</v>
      </c>
      <c r="O17" s="27" t="str">
        <f t="shared" si="3"/>
        <v>ปิดทุน</v>
      </c>
      <c r="P17" s="24"/>
    </row>
    <row r="18" spans="1:17" ht="48">
      <c r="A18" s="16">
        <f t="shared" si="1"/>
        <v>15</v>
      </c>
      <c r="B18" s="23" t="s">
        <v>418</v>
      </c>
      <c r="C18" s="42" t="s">
        <v>13</v>
      </c>
      <c r="D18" s="53" t="s">
        <v>8</v>
      </c>
      <c r="E18" s="54" t="s">
        <v>10</v>
      </c>
      <c r="F18" s="24" t="s">
        <v>524</v>
      </c>
      <c r="G18" s="24" t="s">
        <v>5</v>
      </c>
      <c r="H18" s="25">
        <v>44500</v>
      </c>
      <c r="I18" s="25">
        <v>17800</v>
      </c>
      <c r="J18" s="25">
        <v>26700</v>
      </c>
      <c r="K18" s="25"/>
      <c r="L18" s="19">
        <f t="shared" si="2"/>
        <v>89000</v>
      </c>
      <c r="M18" s="20">
        <f t="shared" si="0"/>
        <v>0</v>
      </c>
      <c r="N18" s="25">
        <v>89000</v>
      </c>
      <c r="O18" s="27" t="str">
        <f t="shared" si="3"/>
        <v>ปิดทุน</v>
      </c>
      <c r="P18" s="24"/>
      <c r="Q18" s="5" t="s">
        <v>643</v>
      </c>
    </row>
    <row r="19" spans="1:17" ht="96">
      <c r="A19" s="16">
        <f t="shared" si="1"/>
        <v>16</v>
      </c>
      <c r="B19" s="23" t="s">
        <v>419</v>
      </c>
      <c r="C19" s="42" t="s">
        <v>13</v>
      </c>
      <c r="D19" s="53" t="s">
        <v>17</v>
      </c>
      <c r="E19" s="54" t="s">
        <v>18</v>
      </c>
      <c r="F19" s="24" t="s">
        <v>524</v>
      </c>
      <c r="G19" s="24" t="s">
        <v>5</v>
      </c>
      <c r="H19" s="25">
        <v>44500</v>
      </c>
      <c r="I19" s="25">
        <v>17800</v>
      </c>
      <c r="J19" s="25">
        <v>26700</v>
      </c>
      <c r="K19" s="25"/>
      <c r="L19" s="19">
        <f t="shared" si="2"/>
        <v>89000</v>
      </c>
      <c r="M19" s="20">
        <f t="shared" si="0"/>
        <v>0</v>
      </c>
      <c r="N19" s="25">
        <v>89000</v>
      </c>
      <c r="O19" s="27" t="str">
        <f t="shared" si="3"/>
        <v>ปิดทุน</v>
      </c>
      <c r="P19" s="24"/>
    </row>
    <row r="20" spans="1:17" ht="168">
      <c r="A20" s="16">
        <f t="shared" si="1"/>
        <v>17</v>
      </c>
      <c r="B20" s="23" t="s">
        <v>420</v>
      </c>
      <c r="C20" s="41" t="s">
        <v>9</v>
      </c>
      <c r="D20" s="53" t="s">
        <v>890</v>
      </c>
      <c r="E20" s="54" t="s">
        <v>421</v>
      </c>
      <c r="F20" s="24" t="s">
        <v>524</v>
      </c>
      <c r="G20" s="24" t="s">
        <v>5</v>
      </c>
      <c r="H20" s="25">
        <v>44500</v>
      </c>
      <c r="I20" s="25">
        <v>44500</v>
      </c>
      <c r="J20" s="25"/>
      <c r="K20" s="25"/>
      <c r="L20" s="19">
        <f t="shared" si="2"/>
        <v>89000</v>
      </c>
      <c r="M20" s="20">
        <f t="shared" si="0"/>
        <v>0</v>
      </c>
      <c r="N20" s="25">
        <v>89000</v>
      </c>
      <c r="O20" s="27" t="str">
        <f t="shared" si="3"/>
        <v>ปิดทุน</v>
      </c>
      <c r="P20" s="24"/>
      <c r="Q20" s="6" t="s">
        <v>1138</v>
      </c>
    </row>
    <row r="21" spans="1:17" ht="48">
      <c r="A21" s="16">
        <f t="shared" si="1"/>
        <v>18</v>
      </c>
      <c r="B21" s="23" t="s">
        <v>422</v>
      </c>
      <c r="C21" s="41" t="s">
        <v>9</v>
      </c>
      <c r="D21" s="53" t="s">
        <v>221</v>
      </c>
      <c r="E21" s="54" t="s">
        <v>222</v>
      </c>
      <c r="F21" s="24" t="s">
        <v>526</v>
      </c>
      <c r="G21" s="24" t="s">
        <v>5</v>
      </c>
      <c r="H21" s="25">
        <v>50000</v>
      </c>
      <c r="I21" s="25">
        <v>50000</v>
      </c>
      <c r="J21" s="25"/>
      <c r="K21" s="25"/>
      <c r="L21" s="19">
        <f t="shared" si="2"/>
        <v>100000</v>
      </c>
      <c r="M21" s="20">
        <f t="shared" si="0"/>
        <v>0</v>
      </c>
      <c r="N21" s="25">
        <v>100000</v>
      </c>
      <c r="O21" s="27" t="str">
        <f t="shared" si="3"/>
        <v>ปิดทุน</v>
      </c>
      <c r="P21" s="24"/>
    </row>
    <row r="22" spans="1:17" ht="72">
      <c r="A22" s="16">
        <f t="shared" si="1"/>
        <v>19</v>
      </c>
      <c r="B22" s="23" t="s">
        <v>423</v>
      </c>
      <c r="C22" s="41" t="s">
        <v>9</v>
      </c>
      <c r="D22" s="53" t="s">
        <v>81</v>
      </c>
      <c r="E22" s="54" t="s">
        <v>219</v>
      </c>
      <c r="F22" s="24" t="s">
        <v>526</v>
      </c>
      <c r="G22" s="24" t="s">
        <v>5</v>
      </c>
      <c r="H22" s="25">
        <v>50000</v>
      </c>
      <c r="I22" s="25">
        <v>20000</v>
      </c>
      <c r="J22" s="25">
        <v>30000</v>
      </c>
      <c r="K22" s="25"/>
      <c r="L22" s="19">
        <f t="shared" si="2"/>
        <v>100000</v>
      </c>
      <c r="M22" s="20">
        <f t="shared" si="0"/>
        <v>0</v>
      </c>
      <c r="N22" s="25">
        <v>100000</v>
      </c>
      <c r="O22" s="27" t="str">
        <f t="shared" si="3"/>
        <v>ปิดทุน</v>
      </c>
      <c r="P22" s="24"/>
    </row>
    <row r="23" spans="1:17" ht="48">
      <c r="A23" s="16">
        <f t="shared" si="1"/>
        <v>20</v>
      </c>
      <c r="B23" s="23" t="s">
        <v>424</v>
      </c>
      <c r="C23" s="41" t="s">
        <v>9</v>
      </c>
      <c r="D23" s="53" t="s">
        <v>84</v>
      </c>
      <c r="E23" s="54" t="s">
        <v>85</v>
      </c>
      <c r="F23" s="24" t="s">
        <v>526</v>
      </c>
      <c r="G23" s="24" t="s">
        <v>5</v>
      </c>
      <c r="H23" s="25">
        <v>50000</v>
      </c>
      <c r="I23" s="25">
        <v>50000</v>
      </c>
      <c r="J23" s="25"/>
      <c r="K23" s="25"/>
      <c r="L23" s="19">
        <f t="shared" si="2"/>
        <v>100000</v>
      </c>
      <c r="M23" s="20">
        <f t="shared" si="0"/>
        <v>0</v>
      </c>
      <c r="N23" s="25">
        <v>100000</v>
      </c>
      <c r="O23" s="27" t="str">
        <f t="shared" si="3"/>
        <v>ปิดทุน</v>
      </c>
      <c r="P23" s="24"/>
    </row>
    <row r="24" spans="1:17" ht="96">
      <c r="A24" s="16">
        <f t="shared" si="1"/>
        <v>21</v>
      </c>
      <c r="B24" s="23" t="s">
        <v>425</v>
      </c>
      <c r="C24" s="42" t="s">
        <v>58</v>
      </c>
      <c r="D24" s="53" t="s">
        <v>393</v>
      </c>
      <c r="E24" s="54" t="s">
        <v>394</v>
      </c>
      <c r="F24" s="24" t="s">
        <v>520</v>
      </c>
      <c r="G24" s="24" t="s">
        <v>5</v>
      </c>
      <c r="H24" s="25">
        <v>30000</v>
      </c>
      <c r="I24" s="25">
        <v>30000</v>
      </c>
      <c r="J24" s="25"/>
      <c r="K24" s="25"/>
      <c r="L24" s="19">
        <f t="shared" si="2"/>
        <v>60000</v>
      </c>
      <c r="M24" s="20">
        <f t="shared" si="0"/>
        <v>0</v>
      </c>
      <c r="N24" s="25">
        <v>60000</v>
      </c>
      <c r="O24" s="27" t="str">
        <f t="shared" si="3"/>
        <v>ปิดทุน</v>
      </c>
      <c r="P24" s="24"/>
    </row>
    <row r="25" spans="1:17" ht="48">
      <c r="A25" s="16">
        <f t="shared" si="1"/>
        <v>22</v>
      </c>
      <c r="B25" s="23" t="s">
        <v>426</v>
      </c>
      <c r="C25" s="42" t="s">
        <v>329</v>
      </c>
      <c r="D25" s="53" t="s">
        <v>427</v>
      </c>
      <c r="E25" s="54" t="s">
        <v>428</v>
      </c>
      <c r="F25" s="24" t="s">
        <v>522</v>
      </c>
      <c r="G25" s="24" t="s">
        <v>96</v>
      </c>
      <c r="H25" s="25">
        <v>20000</v>
      </c>
      <c r="I25" s="25">
        <v>20000</v>
      </c>
      <c r="J25" s="25"/>
      <c r="K25" s="25"/>
      <c r="L25" s="19">
        <f t="shared" si="2"/>
        <v>40000</v>
      </c>
      <c r="M25" s="20">
        <f t="shared" si="0"/>
        <v>0</v>
      </c>
      <c r="N25" s="25">
        <v>40000</v>
      </c>
      <c r="O25" s="27" t="str">
        <f t="shared" si="3"/>
        <v>ปิดทุน</v>
      </c>
      <c r="P25" s="24"/>
    </row>
    <row r="26" spans="1:17" ht="96">
      <c r="A26" s="16">
        <f t="shared" si="1"/>
        <v>23</v>
      </c>
      <c r="B26" s="23" t="s">
        <v>429</v>
      </c>
      <c r="C26" s="42" t="s">
        <v>58</v>
      </c>
      <c r="D26" s="53" t="s">
        <v>430</v>
      </c>
      <c r="E26" s="54" t="s">
        <v>431</v>
      </c>
      <c r="F26" s="24" t="s">
        <v>520</v>
      </c>
      <c r="G26" s="24" t="s">
        <v>96</v>
      </c>
      <c r="H26" s="25">
        <v>20000</v>
      </c>
      <c r="I26" s="25">
        <v>20000</v>
      </c>
      <c r="J26" s="25"/>
      <c r="K26" s="25"/>
      <c r="L26" s="19">
        <f t="shared" si="2"/>
        <v>40000</v>
      </c>
      <c r="M26" s="20">
        <f t="shared" si="0"/>
        <v>0</v>
      </c>
      <c r="N26" s="25">
        <v>40000</v>
      </c>
      <c r="O26" s="27" t="str">
        <f t="shared" si="3"/>
        <v>ปิดทุน</v>
      </c>
      <c r="P26" s="24"/>
    </row>
    <row r="27" spans="1:17">
      <c r="A27" s="22"/>
      <c r="B27" s="29" t="s">
        <v>436</v>
      </c>
      <c r="C27" s="42"/>
      <c r="D27" s="53"/>
      <c r="E27" s="54"/>
      <c r="F27" s="24"/>
      <c r="G27" s="24"/>
      <c r="H27" s="25"/>
      <c r="I27" s="25"/>
      <c r="J27" s="25"/>
      <c r="K27" s="25"/>
      <c r="L27" s="19">
        <f t="shared" si="2"/>
        <v>0</v>
      </c>
      <c r="M27" s="20">
        <f t="shared" si="0"/>
        <v>0</v>
      </c>
      <c r="N27" s="25"/>
      <c r="O27" s="27"/>
      <c r="P27" s="24"/>
    </row>
    <row r="28" spans="1:17" ht="72">
      <c r="A28" s="22">
        <v>1</v>
      </c>
      <c r="B28" s="23" t="s">
        <v>432</v>
      </c>
      <c r="C28" s="42" t="s">
        <v>13</v>
      </c>
      <c r="D28" s="53" t="s">
        <v>47</v>
      </c>
      <c r="E28" s="54" t="s">
        <v>48</v>
      </c>
      <c r="F28" s="71" t="s">
        <v>519</v>
      </c>
      <c r="G28" s="24" t="s">
        <v>5</v>
      </c>
      <c r="H28" s="25">
        <v>44500</v>
      </c>
      <c r="I28" s="25">
        <v>44500</v>
      </c>
      <c r="J28" s="25"/>
      <c r="K28" s="25"/>
      <c r="L28" s="19">
        <f t="shared" si="2"/>
        <v>89000</v>
      </c>
      <c r="M28" s="20">
        <f t="shared" si="0"/>
        <v>0</v>
      </c>
      <c r="N28" s="25">
        <v>89000</v>
      </c>
      <c r="O28" s="27" t="str">
        <f>IF(M28=0,"ปิดทุน",IF(M28&lt;0,"ยังไม่ปิดทุน","เกินทุน"))</f>
        <v>ปิดทุน</v>
      </c>
      <c r="P28" s="24"/>
    </row>
    <row r="29" spans="1:17" ht="48">
      <c r="A29" s="22">
        <v>2</v>
      </c>
      <c r="B29" s="23" t="s">
        <v>433</v>
      </c>
      <c r="C29" s="41" t="s">
        <v>9</v>
      </c>
      <c r="D29" s="53" t="s">
        <v>50</v>
      </c>
      <c r="E29" s="54" t="s">
        <v>175</v>
      </c>
      <c r="F29" s="24" t="s">
        <v>521</v>
      </c>
      <c r="G29" s="24" t="s">
        <v>5</v>
      </c>
      <c r="H29" s="25">
        <v>50000</v>
      </c>
      <c r="I29" s="25">
        <v>50000</v>
      </c>
      <c r="J29" s="25"/>
      <c r="K29" s="25"/>
      <c r="L29" s="19">
        <f t="shared" si="2"/>
        <v>100000</v>
      </c>
      <c r="M29" s="20">
        <f t="shared" si="0"/>
        <v>0</v>
      </c>
      <c r="N29" s="25">
        <v>100000</v>
      </c>
      <c r="O29" s="27" t="str">
        <f>IF(M29=0,"ปิดทุน",IF(M29&lt;0,"ยังไม่ปิดทุน","เกินทุน"))</f>
        <v>ปิดทุน</v>
      </c>
      <c r="P29" s="24"/>
    </row>
    <row r="30" spans="1:17" ht="48">
      <c r="A30" s="22">
        <v>3</v>
      </c>
      <c r="B30" s="23" t="s">
        <v>434</v>
      </c>
      <c r="C30" s="42" t="s">
        <v>13</v>
      </c>
      <c r="D30" s="53" t="s">
        <v>14</v>
      </c>
      <c r="E30" s="54" t="s">
        <v>15</v>
      </c>
      <c r="F30" s="24" t="s">
        <v>524</v>
      </c>
      <c r="G30" s="24" t="s">
        <v>5</v>
      </c>
      <c r="H30" s="25">
        <v>44500</v>
      </c>
      <c r="I30" s="25">
        <v>44500</v>
      </c>
      <c r="J30" s="25"/>
      <c r="K30" s="25"/>
      <c r="L30" s="19">
        <f t="shared" si="2"/>
        <v>89000</v>
      </c>
      <c r="M30" s="20">
        <f t="shared" si="0"/>
        <v>0</v>
      </c>
      <c r="N30" s="25">
        <v>89000</v>
      </c>
      <c r="O30" s="27" t="str">
        <f>IF(M30=0,"ปิดทุน",IF(M30&lt;0,"ยังไม่ปิดทุน","เกินทุน"))</f>
        <v>ปิดทุน</v>
      </c>
      <c r="P30" s="24"/>
    </row>
    <row r="31" spans="1:17" ht="48">
      <c r="A31" s="22">
        <v>4</v>
      </c>
      <c r="B31" s="23" t="s">
        <v>435</v>
      </c>
      <c r="C31" s="41" t="s">
        <v>9</v>
      </c>
      <c r="D31" s="53" t="s">
        <v>152</v>
      </c>
      <c r="E31" s="54" t="s">
        <v>15</v>
      </c>
      <c r="F31" s="24" t="s">
        <v>524</v>
      </c>
      <c r="G31" s="24" t="s">
        <v>5</v>
      </c>
      <c r="H31" s="25">
        <v>44500</v>
      </c>
      <c r="I31" s="25">
        <v>44500</v>
      </c>
      <c r="J31" s="25"/>
      <c r="K31" s="25"/>
      <c r="L31" s="19">
        <f t="shared" si="2"/>
        <v>89000</v>
      </c>
      <c r="M31" s="20">
        <f t="shared" si="0"/>
        <v>0</v>
      </c>
      <c r="N31" s="25">
        <v>89000</v>
      </c>
      <c r="O31" s="27" t="str">
        <f>IF(M31=0,"ปิดทุน",IF(M31&lt;0,"ยังไม่ปิดทุน","เกินทุน"))</f>
        <v>ปิดทุน</v>
      </c>
      <c r="P31" s="24"/>
    </row>
    <row r="32" spans="1:17">
      <c r="A32" s="22"/>
      <c r="B32" s="29" t="s">
        <v>506</v>
      </c>
      <c r="C32" s="42"/>
      <c r="D32" s="53"/>
      <c r="E32" s="54"/>
      <c r="F32" s="24"/>
      <c r="G32" s="24"/>
      <c r="H32" s="25"/>
      <c r="I32" s="25"/>
      <c r="J32" s="25"/>
      <c r="K32" s="25"/>
      <c r="L32" s="19">
        <f t="shared" si="2"/>
        <v>0</v>
      </c>
      <c r="M32" s="20">
        <f t="shared" si="0"/>
        <v>0</v>
      </c>
      <c r="N32" s="25"/>
      <c r="O32" s="27"/>
      <c r="P32" s="24"/>
    </row>
    <row r="33" spans="1:16" s="161" customFormat="1" ht="96">
      <c r="A33" s="164">
        <v>1</v>
      </c>
      <c r="B33" s="165" t="s">
        <v>437</v>
      </c>
      <c r="C33" s="166" t="s">
        <v>13</v>
      </c>
      <c r="D33" s="167" t="s">
        <v>37</v>
      </c>
      <c r="E33" s="168" t="s">
        <v>38</v>
      </c>
      <c r="F33" s="169" t="s">
        <v>519</v>
      </c>
      <c r="G33" s="165" t="s">
        <v>506</v>
      </c>
      <c r="H33" s="170">
        <v>100000</v>
      </c>
      <c r="I33" s="170">
        <v>100000</v>
      </c>
      <c r="J33" s="170"/>
      <c r="K33" s="170"/>
      <c r="L33" s="170">
        <f t="shared" si="2"/>
        <v>200000</v>
      </c>
      <c r="M33" s="171">
        <f t="shared" si="0"/>
        <v>-100000</v>
      </c>
      <c r="N33" s="170">
        <v>300000</v>
      </c>
      <c r="O33" s="172" t="str">
        <f>IF(M33=0,"ปิดทุน",IF(M33&lt;0,"ยังไม่ปิดทุน","เกินทุน"))</f>
        <v>ยังไม่ปิดทุน</v>
      </c>
      <c r="P33" s="173" t="s">
        <v>990</v>
      </c>
    </row>
    <row r="34" spans="1:16">
      <c r="N34" s="8">
        <f>SUM(N4:N33)</f>
        <v>2730000</v>
      </c>
    </row>
    <row r="36" spans="1:16">
      <c r="J36" s="8">
        <f xml:space="preserve"> SUMIFS(N4:N33,O4:O33,
 "ปิดทุน")</f>
        <v>2430000</v>
      </c>
      <c r="M36" s="92">
        <f>M33+M28+M22+M20+M18+M16+M14+M13+M8+M5+M4</f>
        <v>-100000</v>
      </c>
    </row>
    <row r="40" spans="1:16">
      <c r="J40" s="8" t="s">
        <v>549</v>
      </c>
      <c r="K40" s="8" t="s">
        <v>504</v>
      </c>
      <c r="O40" s="93"/>
      <c r="P40" s="8"/>
    </row>
    <row r="41" spans="1:16">
      <c r="J41" s="8">
        <f xml:space="preserve"> SUMIFS(N4:N38,O4:O38,
 "ปิดทุน")</f>
        <v>2430000</v>
      </c>
      <c r="K41" s="8">
        <f xml:space="preserve"> SUMIFS(H4:H35,O4:O35,
 "ยังไม่ปิดทุน")</f>
        <v>100000</v>
      </c>
      <c r="L41" s="9">
        <f xml:space="preserve"> SUMIFS(I4:I33,O4:O33,
 "ยังไม่ปิดทุน")</f>
        <v>100000</v>
      </c>
      <c r="M41" s="9">
        <f>K41+L41</f>
        <v>200000</v>
      </c>
      <c r="N41" s="8">
        <v>640200</v>
      </c>
    </row>
    <row r="42" spans="1:16">
      <c r="N42" s="8">
        <f>J41+M41+N41</f>
        <v>3270200</v>
      </c>
    </row>
    <row r="44" spans="1:16">
      <c r="B44" s="5"/>
    </row>
    <row r="45" spans="1:16">
      <c r="B45" s="5"/>
      <c r="H45" s="5"/>
      <c r="I45" s="5"/>
      <c r="J45" s="5"/>
      <c r="K45" s="5"/>
      <c r="L45" s="5"/>
      <c r="M45" s="5"/>
      <c r="N45" s="5"/>
    </row>
    <row r="46" spans="1:16">
      <c r="B46" s="5"/>
      <c r="H46" s="5"/>
      <c r="I46" s="5"/>
      <c r="J46" s="5"/>
      <c r="K46" s="5"/>
      <c r="L46" s="5"/>
      <c r="M46" s="5"/>
      <c r="N46" s="5"/>
    </row>
    <row r="47" spans="1:16">
      <c r="B47" s="5"/>
      <c r="H47" s="5"/>
      <c r="I47" s="5"/>
      <c r="J47" s="5"/>
      <c r="K47" s="5"/>
      <c r="L47" s="5"/>
      <c r="M47" s="5"/>
      <c r="N47" s="5"/>
    </row>
    <row r="48" spans="1:16">
      <c r="B48" s="5"/>
      <c r="H48" s="5"/>
      <c r="I48" s="5"/>
      <c r="J48" s="5"/>
      <c r="K48" s="5"/>
      <c r="L48" s="5"/>
      <c r="M48" s="5"/>
      <c r="N48" s="5"/>
    </row>
    <row r="49" spans="2:14">
      <c r="B49" s="5"/>
      <c r="H49" s="5"/>
      <c r="I49" s="5"/>
      <c r="J49" s="5"/>
      <c r="K49" s="5"/>
      <c r="L49" s="5"/>
      <c r="M49" s="5"/>
      <c r="N49" s="5"/>
    </row>
    <row r="50" spans="2:14">
      <c r="B50" s="5"/>
      <c r="H50" s="5"/>
      <c r="I50" s="5"/>
      <c r="J50" s="5"/>
      <c r="K50" s="5"/>
      <c r="L50" s="5"/>
      <c r="M50" s="5"/>
      <c r="N50" s="5"/>
    </row>
    <row r="51" spans="2:14">
      <c r="B51" s="5"/>
      <c r="H51" s="5"/>
      <c r="I51" s="5"/>
      <c r="J51" s="5"/>
      <c r="K51" s="5"/>
      <c r="L51" s="5"/>
      <c r="M51" s="5"/>
      <c r="N51" s="5"/>
    </row>
    <row r="52" spans="2:14">
      <c r="B52" s="5"/>
      <c r="H52" s="5"/>
      <c r="I52" s="5"/>
      <c r="J52" s="5"/>
      <c r="K52" s="5"/>
      <c r="L52" s="5"/>
      <c r="M52" s="5"/>
      <c r="N52" s="5"/>
    </row>
    <row r="53" spans="2:14">
      <c r="B53" s="5"/>
      <c r="H53" s="5"/>
      <c r="I53" s="5"/>
      <c r="J53" s="5"/>
      <c r="K53" s="5"/>
      <c r="L53" s="5"/>
      <c r="M53" s="5"/>
      <c r="N53" s="5"/>
    </row>
    <row r="54" spans="2:14">
      <c r="B54" s="5"/>
      <c r="H54" s="5"/>
      <c r="I54" s="5"/>
      <c r="J54" s="5"/>
      <c r="K54" s="5"/>
      <c r="L54" s="5"/>
      <c r="M54" s="5"/>
      <c r="N54" s="5"/>
    </row>
    <row r="55" spans="2:14">
      <c r="B55" s="5"/>
      <c r="H55" s="5"/>
      <c r="I55" s="5"/>
      <c r="J55" s="5"/>
      <c r="K55" s="5"/>
      <c r="L55" s="5"/>
      <c r="M55" s="5"/>
      <c r="N55" s="5"/>
    </row>
    <row r="56" spans="2:14">
      <c r="B56" s="5"/>
      <c r="H56" s="5"/>
      <c r="I56" s="5"/>
      <c r="J56" s="5"/>
      <c r="K56" s="5"/>
      <c r="L56" s="5"/>
      <c r="M56" s="5"/>
      <c r="N56" s="5"/>
    </row>
    <row r="57" spans="2:14">
      <c r="B57" s="5"/>
      <c r="H57" s="5"/>
      <c r="I57" s="5"/>
      <c r="J57" s="5"/>
      <c r="K57" s="5"/>
      <c r="L57" s="5"/>
      <c r="M57" s="5"/>
      <c r="N57" s="5"/>
    </row>
    <row r="58" spans="2:14">
      <c r="B58" s="5"/>
      <c r="H58" s="5"/>
      <c r="I58" s="5"/>
      <c r="J58" s="5"/>
      <c r="K58" s="5"/>
      <c r="L58" s="5"/>
      <c r="M58" s="5"/>
      <c r="N58" s="5"/>
    </row>
    <row r="59" spans="2:14">
      <c r="B59" s="5"/>
      <c r="H59" s="5"/>
      <c r="I59" s="5"/>
      <c r="J59" s="5"/>
      <c r="K59" s="5"/>
      <c r="L59" s="5"/>
      <c r="M59" s="5"/>
      <c r="N59" s="5"/>
    </row>
    <row r="60" spans="2:14">
      <c r="B60" s="5"/>
      <c r="H60" s="5"/>
      <c r="I60" s="5"/>
      <c r="J60" s="5"/>
      <c r="K60" s="5"/>
      <c r="L60" s="5"/>
      <c r="M60" s="5"/>
      <c r="N60" s="5"/>
    </row>
    <row r="61" spans="2:14">
      <c r="B61" s="5"/>
      <c r="M61" s="5"/>
      <c r="N61" s="5"/>
    </row>
    <row r="62" spans="2:14">
      <c r="B62" s="5"/>
      <c r="M62" s="5"/>
      <c r="N62" s="5"/>
    </row>
    <row r="63" spans="2:14">
      <c r="B63" s="5"/>
      <c r="M63" s="5"/>
      <c r="N63" s="5"/>
    </row>
    <row r="64" spans="2:14">
      <c r="B64" s="5"/>
      <c r="M64" s="5"/>
      <c r="N64" s="5"/>
    </row>
    <row r="65" spans="2:14">
      <c r="B65" s="5"/>
      <c r="M65" s="5"/>
      <c r="N65" s="5"/>
    </row>
    <row r="66" spans="2:14">
      <c r="B66" s="5"/>
      <c r="M66" s="5"/>
      <c r="N66" s="5"/>
    </row>
    <row r="67" spans="2:14">
      <c r="B67" s="5"/>
      <c r="M67" s="5"/>
      <c r="N67" s="5"/>
    </row>
    <row r="68" spans="2:14">
      <c r="B68" s="5"/>
      <c r="M68" s="5"/>
      <c r="N68" s="5"/>
    </row>
    <row r="69" spans="2:14">
      <c r="B69" s="5"/>
      <c r="M69" s="5"/>
      <c r="N69" s="5"/>
    </row>
    <row r="70" spans="2:14">
      <c r="B70" s="5"/>
      <c r="M70" s="5"/>
      <c r="N70" s="5"/>
    </row>
    <row r="71" spans="2:14">
      <c r="B71" s="5"/>
      <c r="M71" s="5"/>
      <c r="N71" s="5"/>
    </row>
    <row r="72" spans="2:14">
      <c r="B72" s="5"/>
      <c r="M72" s="5"/>
      <c r="N72" s="5"/>
    </row>
    <row r="73" spans="2:14">
      <c r="B73" s="5"/>
      <c r="M73" s="5"/>
      <c r="N73" s="5"/>
    </row>
    <row r="74" spans="2:14">
      <c r="B74" s="5"/>
      <c r="M74" s="5"/>
      <c r="N74" s="5"/>
    </row>
    <row r="75" spans="2:14">
      <c r="B75" s="5"/>
      <c r="M75" s="5"/>
      <c r="N75" s="5"/>
    </row>
    <row r="76" spans="2:14">
      <c r="B76" s="5"/>
      <c r="H76" s="5"/>
      <c r="I76" s="5"/>
      <c r="J76" s="5"/>
      <c r="K76" s="5"/>
      <c r="L76" s="5"/>
      <c r="M76" s="5"/>
      <c r="N76" s="5"/>
    </row>
    <row r="77" spans="2:14">
      <c r="B77" s="5"/>
      <c r="H77" s="5"/>
      <c r="I77" s="5"/>
      <c r="J77" s="5"/>
      <c r="K77" s="5"/>
      <c r="L77" s="5"/>
      <c r="M77" s="5"/>
      <c r="N77" s="5"/>
    </row>
    <row r="78" spans="2:14">
      <c r="B78" s="5"/>
      <c r="H78" s="5"/>
      <c r="I78" s="5"/>
      <c r="J78" s="5"/>
      <c r="K78" s="5"/>
      <c r="L78" s="5"/>
      <c r="M78" s="5"/>
      <c r="N78" s="5"/>
    </row>
    <row r="79" spans="2:14">
      <c r="B79" s="5"/>
      <c r="H79" s="5"/>
      <c r="I79" s="5"/>
      <c r="J79" s="5"/>
      <c r="K79" s="5"/>
      <c r="L79" s="5"/>
      <c r="M79" s="5"/>
      <c r="N79" s="5"/>
    </row>
    <row r="80" spans="2:14">
      <c r="B80" s="5"/>
      <c r="H80" s="5"/>
      <c r="I80" s="5"/>
      <c r="J80" s="5"/>
      <c r="K80" s="5"/>
      <c r="L80" s="5"/>
      <c r="M80" s="5"/>
      <c r="N80" s="5"/>
    </row>
    <row r="81" spans="2:14">
      <c r="B81" s="5"/>
      <c r="H81" s="5"/>
      <c r="I81" s="5"/>
      <c r="J81" s="5"/>
      <c r="K81" s="5"/>
      <c r="L81" s="5"/>
      <c r="M81" s="5"/>
      <c r="N81" s="5"/>
    </row>
    <row r="82" spans="2:14">
      <c r="B82" s="5"/>
      <c r="H82" s="5"/>
      <c r="I82" s="5"/>
      <c r="J82" s="5"/>
      <c r="K82" s="5"/>
      <c r="L82" s="5"/>
      <c r="M82" s="5"/>
      <c r="N82" s="5"/>
    </row>
    <row r="83" spans="2:14">
      <c r="B83" s="5"/>
      <c r="H83" s="5"/>
      <c r="I83" s="5"/>
      <c r="J83" s="5"/>
      <c r="K83" s="5"/>
      <c r="L83" s="5"/>
      <c r="M83" s="5"/>
      <c r="N83" s="5"/>
    </row>
    <row r="84" spans="2:14">
      <c r="B84" s="5"/>
      <c r="H84" s="5"/>
      <c r="I84" s="5"/>
      <c r="J84" s="5"/>
      <c r="K84" s="5"/>
      <c r="L84" s="5"/>
      <c r="M84" s="5"/>
      <c r="N84" s="5"/>
    </row>
    <row r="85" spans="2:14">
      <c r="B85" s="5"/>
      <c r="H85" s="5"/>
      <c r="I85" s="5"/>
      <c r="J85" s="5"/>
      <c r="K85" s="5"/>
      <c r="L85" s="5"/>
      <c r="M85" s="5"/>
      <c r="N85" s="5"/>
    </row>
    <row r="86" spans="2:14">
      <c r="B86" s="5"/>
      <c r="H86" s="5"/>
      <c r="I86" s="5"/>
      <c r="J86" s="5"/>
      <c r="K86" s="5"/>
      <c r="L86" s="5"/>
      <c r="M86" s="5"/>
      <c r="N86" s="5"/>
    </row>
    <row r="87" spans="2:14">
      <c r="B87" s="5"/>
      <c r="H87" s="5"/>
      <c r="I87" s="5"/>
      <c r="J87" s="5"/>
      <c r="K87" s="5"/>
      <c r="L87" s="5"/>
      <c r="M87" s="5"/>
      <c r="N87" s="5"/>
    </row>
  </sheetData>
  <mergeCells count="9">
    <mergeCell ref="A1:P1"/>
    <mergeCell ref="O2:O3"/>
    <mergeCell ref="P2:P3"/>
    <mergeCell ref="H2:N2"/>
    <mergeCell ref="A2:A3"/>
    <mergeCell ref="B2:B3"/>
    <mergeCell ref="C2:E3"/>
    <mergeCell ref="F2:F3"/>
    <mergeCell ref="G2:G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6699"/>
  </sheetPr>
  <dimension ref="A1:Q71"/>
  <sheetViews>
    <sheetView zoomScale="70" zoomScaleNormal="70" workbookViewId="0">
      <pane xSplit="1" ySplit="3" topLeftCell="B4" activePane="bottomRight" state="frozen"/>
      <selection pane="topRight" activeCell="B1" sqref="B1"/>
      <selection pane="bottomLeft" activeCell="A4" sqref="A4"/>
      <selection pane="bottomRight" activeCell="B4" sqref="B4"/>
    </sheetView>
  </sheetViews>
  <sheetFormatPr defaultColWidth="9" defaultRowHeight="24"/>
  <cols>
    <col min="1" max="1" width="7.109375" style="7" bestFit="1" customWidth="1"/>
    <col min="2" max="2" width="45.77734375" style="6" bestFit="1" customWidth="1"/>
    <col min="3" max="3" width="9.44140625" style="5" bestFit="1" customWidth="1"/>
    <col min="4" max="4" width="13.44140625" style="5" customWidth="1"/>
    <col min="5" max="5" width="23.44140625" style="5" bestFit="1" customWidth="1"/>
    <col min="6" max="6" width="7.88671875" style="5" bestFit="1" customWidth="1"/>
    <col min="7" max="7" width="22.33203125" style="5" bestFit="1" customWidth="1"/>
    <col min="8" max="8" width="16.88671875" style="8" bestFit="1" customWidth="1"/>
    <col min="9" max="10" width="15.109375" style="8" bestFit="1" customWidth="1"/>
    <col min="11" max="11" width="19" style="9" bestFit="1" customWidth="1"/>
    <col min="12" max="12" width="21.88671875" style="8" customWidth="1"/>
    <col min="13" max="13" width="17.44140625" style="5" customWidth="1"/>
    <col min="14" max="14" width="37" style="5" customWidth="1"/>
    <col min="15" max="15" width="34.6640625" style="5" customWidth="1"/>
    <col min="16" max="16" width="26.88671875" style="5" customWidth="1"/>
    <col min="17" max="17" width="13.6640625" style="5" bestFit="1" customWidth="1"/>
    <col min="18" max="16384" width="9" style="5"/>
  </cols>
  <sheetData>
    <row r="1" spans="1:17" s="2" customFormat="1" ht="27">
      <c r="A1" s="393" t="s">
        <v>510</v>
      </c>
      <c r="B1" s="393"/>
      <c r="C1" s="393"/>
      <c r="D1" s="393"/>
      <c r="E1" s="393"/>
      <c r="F1" s="393"/>
      <c r="G1" s="393"/>
      <c r="H1" s="393"/>
      <c r="I1" s="393"/>
      <c r="J1" s="393"/>
      <c r="K1" s="393"/>
      <c r="L1" s="393"/>
      <c r="M1" s="393"/>
      <c r="N1" s="393"/>
      <c r="O1" s="393"/>
    </row>
    <row r="2" spans="1:17" s="2" customFormat="1">
      <c r="A2" s="396" t="s">
        <v>0</v>
      </c>
      <c r="B2" s="399" t="s">
        <v>1</v>
      </c>
      <c r="C2" s="401" t="s">
        <v>2</v>
      </c>
      <c r="D2" s="402"/>
      <c r="E2" s="403"/>
      <c r="F2" s="396" t="s">
        <v>4</v>
      </c>
      <c r="G2" s="396" t="s">
        <v>3</v>
      </c>
      <c r="H2" s="394" t="s">
        <v>6</v>
      </c>
      <c r="I2" s="394"/>
      <c r="J2" s="394"/>
      <c r="K2" s="394"/>
      <c r="L2" s="394"/>
      <c r="M2" s="396" t="s">
        <v>11</v>
      </c>
      <c r="N2" s="396" t="s">
        <v>500</v>
      </c>
      <c r="O2" s="2" t="s">
        <v>537</v>
      </c>
      <c r="P2" s="2" t="s">
        <v>544</v>
      </c>
      <c r="Q2" s="2" t="s">
        <v>545</v>
      </c>
    </row>
    <row r="3" spans="1:17" s="2" customFormat="1">
      <c r="A3" s="397"/>
      <c r="B3" s="400"/>
      <c r="C3" s="404"/>
      <c r="D3" s="405"/>
      <c r="E3" s="406"/>
      <c r="F3" s="397"/>
      <c r="G3" s="397"/>
      <c r="H3" s="3" t="s">
        <v>65</v>
      </c>
      <c r="I3" s="3" t="s">
        <v>66</v>
      </c>
      <c r="J3" s="3" t="s">
        <v>67</v>
      </c>
      <c r="K3" s="4" t="s">
        <v>68</v>
      </c>
      <c r="L3" s="3" t="s">
        <v>6</v>
      </c>
      <c r="M3" s="397"/>
      <c r="N3" s="397"/>
      <c r="O3" s="90"/>
    </row>
    <row r="4" spans="1:17" ht="48">
      <c r="A4" s="144">
        <f>ROW(A1)</f>
        <v>1</v>
      </c>
      <c r="B4" s="75" t="s">
        <v>539</v>
      </c>
      <c r="C4" s="31" t="s">
        <v>13</v>
      </c>
      <c r="D4" s="32" t="s">
        <v>312</v>
      </c>
      <c r="E4" s="33" t="s">
        <v>313</v>
      </c>
      <c r="F4" s="24" t="s">
        <v>522</v>
      </c>
      <c r="G4" s="18" t="s">
        <v>5</v>
      </c>
      <c r="H4" s="19">
        <v>37500</v>
      </c>
      <c r="I4" s="19">
        <v>37500</v>
      </c>
      <c r="J4" s="19"/>
      <c r="K4" s="20">
        <f>H4+I4+J4-L4</f>
        <v>0</v>
      </c>
      <c r="L4" s="19">
        <v>75000</v>
      </c>
      <c r="M4" s="21" t="str">
        <f>IF(K4=0,"ปิดทุน",IF(K4&lt;0,"ยังไม่ปิดทุน","เกินทุน"))</f>
        <v>ปิดทุน</v>
      </c>
      <c r="N4" s="18"/>
      <c r="O4" s="5" t="s">
        <v>538</v>
      </c>
    </row>
    <row r="5" spans="1:17" ht="120">
      <c r="A5" s="82">
        <f t="shared" ref="A5:A51" si="0">ROW(A2)</f>
        <v>2</v>
      </c>
      <c r="B5" s="76" t="s">
        <v>438</v>
      </c>
      <c r="C5" s="34" t="s">
        <v>9</v>
      </c>
      <c r="D5" s="35" t="s">
        <v>111</v>
      </c>
      <c r="E5" s="36" t="s">
        <v>112</v>
      </c>
      <c r="F5" s="24" t="s">
        <v>522</v>
      </c>
      <c r="G5" s="24" t="s">
        <v>5</v>
      </c>
      <c r="H5" s="25">
        <v>37500</v>
      </c>
      <c r="I5" s="25">
        <v>37500</v>
      </c>
      <c r="J5" s="25"/>
      <c r="K5" s="26">
        <f t="shared" ref="K5:K28" si="1">H5+I5+J5-L5</f>
        <v>0</v>
      </c>
      <c r="L5" s="25">
        <v>75000</v>
      </c>
      <c r="M5" s="27" t="str">
        <f t="shared" ref="M5:M28" si="2">IF(K5=0,"ปิดทุน",IF(K5&lt;0,"ยังไม่ปิดทุน","เกินทุน"))</f>
        <v>ปิดทุน</v>
      </c>
      <c r="N5" s="24"/>
      <c r="Q5" s="5" t="s">
        <v>650</v>
      </c>
    </row>
    <row r="6" spans="1:17" ht="72">
      <c r="A6" s="82">
        <f t="shared" si="0"/>
        <v>3</v>
      </c>
      <c r="B6" s="76" t="s">
        <v>439</v>
      </c>
      <c r="C6" s="34" t="s">
        <v>9</v>
      </c>
      <c r="D6" s="35" t="s">
        <v>98</v>
      </c>
      <c r="E6" s="36" t="s">
        <v>99</v>
      </c>
      <c r="F6" s="24" t="s">
        <v>522</v>
      </c>
      <c r="G6" s="24" t="s">
        <v>5</v>
      </c>
      <c r="H6" s="25">
        <v>37500</v>
      </c>
      <c r="I6" s="25">
        <v>37500</v>
      </c>
      <c r="J6" s="25"/>
      <c r="K6" s="26">
        <f t="shared" si="1"/>
        <v>0</v>
      </c>
      <c r="L6" s="25">
        <v>75000</v>
      </c>
      <c r="M6" s="27" t="str">
        <f t="shared" si="2"/>
        <v>ปิดทุน</v>
      </c>
      <c r="N6" s="5" t="s">
        <v>1094</v>
      </c>
      <c r="P6" s="5" t="s">
        <v>1093</v>
      </c>
    </row>
    <row r="7" spans="1:17" ht="96">
      <c r="A7" s="82">
        <f t="shared" si="0"/>
        <v>4</v>
      </c>
      <c r="B7" s="76" t="s">
        <v>440</v>
      </c>
      <c r="C7" s="34" t="s">
        <v>9</v>
      </c>
      <c r="D7" s="35" t="s">
        <v>78</v>
      </c>
      <c r="E7" s="36" t="s">
        <v>79</v>
      </c>
      <c r="F7" s="24" t="s">
        <v>522</v>
      </c>
      <c r="G7" s="24" t="s">
        <v>5</v>
      </c>
      <c r="H7" s="25">
        <v>37500</v>
      </c>
      <c r="I7" s="25">
        <v>15000</v>
      </c>
      <c r="J7" s="25">
        <v>22500</v>
      </c>
      <c r="K7" s="26">
        <f t="shared" si="1"/>
        <v>0</v>
      </c>
      <c r="L7" s="25">
        <v>75000</v>
      </c>
      <c r="M7" s="27" t="str">
        <f t="shared" si="2"/>
        <v>ปิดทุน</v>
      </c>
      <c r="N7" s="24"/>
      <c r="O7" s="5" t="s">
        <v>749</v>
      </c>
    </row>
    <row r="8" spans="1:17" ht="72">
      <c r="A8" s="82">
        <f t="shared" si="0"/>
        <v>5</v>
      </c>
      <c r="B8" s="76" t="s">
        <v>441</v>
      </c>
      <c r="C8" s="34" t="s">
        <v>9</v>
      </c>
      <c r="D8" s="35" t="s">
        <v>322</v>
      </c>
      <c r="E8" s="36" t="s">
        <v>323</v>
      </c>
      <c r="F8" s="24" t="s">
        <v>522</v>
      </c>
      <c r="G8" s="24" t="s">
        <v>5</v>
      </c>
      <c r="H8" s="25">
        <v>37500</v>
      </c>
      <c r="I8" s="25">
        <v>37500</v>
      </c>
      <c r="J8" s="25"/>
      <c r="K8" s="26">
        <f t="shared" si="1"/>
        <v>0</v>
      </c>
      <c r="L8" s="25">
        <v>75000</v>
      </c>
      <c r="M8" s="27" t="str">
        <f t="shared" si="2"/>
        <v>ปิดทุน</v>
      </c>
      <c r="N8" s="24"/>
      <c r="Q8" s="1" t="s">
        <v>634</v>
      </c>
    </row>
    <row r="9" spans="1:17" ht="120">
      <c r="A9" s="82">
        <f t="shared" si="0"/>
        <v>6</v>
      </c>
      <c r="B9" s="76" t="s">
        <v>442</v>
      </c>
      <c r="C9" s="34" t="s">
        <v>13</v>
      </c>
      <c r="D9" s="35" t="s">
        <v>101</v>
      </c>
      <c r="E9" s="36" t="s">
        <v>102</v>
      </c>
      <c r="F9" s="24" t="s">
        <v>522</v>
      </c>
      <c r="G9" s="24" t="s">
        <v>5</v>
      </c>
      <c r="H9" s="25">
        <v>37500</v>
      </c>
      <c r="I9" s="25">
        <v>37500</v>
      </c>
      <c r="J9" s="25"/>
      <c r="K9" s="26">
        <f t="shared" si="1"/>
        <v>0</v>
      </c>
      <c r="L9" s="25">
        <v>75000</v>
      </c>
      <c r="M9" s="27" t="str">
        <f t="shared" si="2"/>
        <v>ปิดทุน</v>
      </c>
      <c r="N9" s="24"/>
      <c r="P9" s="5" t="s">
        <v>845</v>
      </c>
    </row>
    <row r="10" spans="1:17" ht="72">
      <c r="A10" s="82">
        <f t="shared" si="0"/>
        <v>7</v>
      </c>
      <c r="B10" s="76" t="s">
        <v>443</v>
      </c>
      <c r="C10" s="42" t="s">
        <v>33</v>
      </c>
      <c r="D10" s="35" t="s">
        <v>302</v>
      </c>
      <c r="E10" s="36" t="s">
        <v>303</v>
      </c>
      <c r="F10" s="24" t="s">
        <v>522</v>
      </c>
      <c r="G10" s="24" t="s">
        <v>5</v>
      </c>
      <c r="H10" s="25">
        <v>37500</v>
      </c>
      <c r="I10" s="25">
        <v>37500</v>
      </c>
      <c r="J10" s="25"/>
      <c r="K10" s="26">
        <f t="shared" si="1"/>
        <v>0</v>
      </c>
      <c r="L10" s="25">
        <v>75000</v>
      </c>
      <c r="M10" s="27" t="str">
        <f t="shared" si="2"/>
        <v>ปิดทุน</v>
      </c>
      <c r="N10" s="24" t="s">
        <v>1270</v>
      </c>
      <c r="P10" s="5" t="s">
        <v>1187</v>
      </c>
    </row>
    <row r="11" spans="1:17" ht="120">
      <c r="A11" s="82">
        <f t="shared" si="0"/>
        <v>8</v>
      </c>
      <c r="B11" s="76" t="s">
        <v>444</v>
      </c>
      <c r="C11" s="37" t="s">
        <v>329</v>
      </c>
      <c r="D11" s="35" t="s">
        <v>445</v>
      </c>
      <c r="E11" s="36" t="s">
        <v>446</v>
      </c>
      <c r="F11" s="24" t="s">
        <v>522</v>
      </c>
      <c r="G11" s="24" t="s">
        <v>5</v>
      </c>
      <c r="H11" s="25">
        <v>37500</v>
      </c>
      <c r="I11" s="25">
        <v>37500</v>
      </c>
      <c r="J11" s="25"/>
      <c r="K11" s="26">
        <f t="shared" si="1"/>
        <v>0</v>
      </c>
      <c r="L11" s="25">
        <v>75000</v>
      </c>
      <c r="M11" s="27" t="str">
        <f t="shared" si="2"/>
        <v>ปิดทุน</v>
      </c>
      <c r="N11" s="24"/>
    </row>
    <row r="12" spans="1:17" ht="48">
      <c r="A12" s="82">
        <f t="shared" si="0"/>
        <v>9</v>
      </c>
      <c r="B12" s="76" t="s">
        <v>447</v>
      </c>
      <c r="C12" s="34" t="s">
        <v>9</v>
      </c>
      <c r="D12" s="35" t="s">
        <v>75</v>
      </c>
      <c r="E12" s="36" t="s">
        <v>76</v>
      </c>
      <c r="F12" s="24" t="s">
        <v>522</v>
      </c>
      <c r="G12" s="24" t="s">
        <v>5</v>
      </c>
      <c r="H12" s="25">
        <v>37500</v>
      </c>
      <c r="I12" s="25">
        <v>37500</v>
      </c>
      <c r="J12" s="25"/>
      <c r="K12" s="26">
        <f t="shared" si="1"/>
        <v>0</v>
      </c>
      <c r="L12" s="25">
        <v>75000</v>
      </c>
      <c r="M12" s="27" t="str">
        <f t="shared" si="2"/>
        <v>ปิดทุน</v>
      </c>
      <c r="N12" s="24"/>
      <c r="Q12" s="5" t="s">
        <v>633</v>
      </c>
    </row>
    <row r="13" spans="1:17" ht="96">
      <c r="A13" s="82">
        <f t="shared" si="0"/>
        <v>10</v>
      </c>
      <c r="B13" s="76" t="s">
        <v>632</v>
      </c>
      <c r="C13" s="37" t="s">
        <v>58</v>
      </c>
      <c r="D13" s="35" t="s">
        <v>315</v>
      </c>
      <c r="E13" s="36" t="s">
        <v>316</v>
      </c>
      <c r="F13" s="24" t="s">
        <v>522</v>
      </c>
      <c r="G13" s="24" t="s">
        <v>5</v>
      </c>
      <c r="H13" s="25">
        <v>37500</v>
      </c>
      <c r="I13" s="25">
        <v>37500</v>
      </c>
      <c r="J13" s="25"/>
      <c r="K13" s="26">
        <f t="shared" si="1"/>
        <v>0</v>
      </c>
      <c r="L13" s="25">
        <v>75000</v>
      </c>
      <c r="M13" s="27" t="str">
        <f t="shared" si="2"/>
        <v>ปิดทุน</v>
      </c>
      <c r="P13" s="24" t="s">
        <v>635</v>
      </c>
    </row>
    <row r="14" spans="1:17" ht="48">
      <c r="A14" s="82">
        <f t="shared" si="0"/>
        <v>11</v>
      </c>
      <c r="B14" s="76" t="s">
        <v>448</v>
      </c>
      <c r="C14" s="37" t="s">
        <v>58</v>
      </c>
      <c r="D14" s="35" t="s">
        <v>449</v>
      </c>
      <c r="E14" s="36" t="s">
        <v>450</v>
      </c>
      <c r="F14" s="24" t="s">
        <v>522</v>
      </c>
      <c r="G14" s="24" t="s">
        <v>5</v>
      </c>
      <c r="H14" s="25">
        <v>37500</v>
      </c>
      <c r="I14" s="25">
        <v>15000</v>
      </c>
      <c r="J14" s="25">
        <v>22500</v>
      </c>
      <c r="K14" s="26">
        <f t="shared" si="1"/>
        <v>0</v>
      </c>
      <c r="L14" s="25">
        <v>75000</v>
      </c>
      <c r="M14" s="27" t="str">
        <f t="shared" si="2"/>
        <v>ปิดทุน</v>
      </c>
      <c r="O14" s="24" t="s">
        <v>543</v>
      </c>
    </row>
    <row r="15" spans="1:17" s="199" customFormat="1" ht="96">
      <c r="A15" s="191">
        <f t="shared" si="0"/>
        <v>12</v>
      </c>
      <c r="B15" s="192" t="s">
        <v>451</v>
      </c>
      <c r="C15" s="206" t="s">
        <v>33</v>
      </c>
      <c r="D15" s="193" t="s">
        <v>183</v>
      </c>
      <c r="E15" s="194" t="s">
        <v>184</v>
      </c>
      <c r="F15" s="195" t="s">
        <v>523</v>
      </c>
      <c r="G15" s="195" t="s">
        <v>5</v>
      </c>
      <c r="H15" s="196">
        <v>37500</v>
      </c>
      <c r="I15" s="196"/>
      <c r="J15" s="196"/>
      <c r="K15" s="197">
        <f t="shared" si="1"/>
        <v>-37500</v>
      </c>
      <c r="L15" s="196">
        <v>75000</v>
      </c>
      <c r="M15" s="198" t="str">
        <f t="shared" si="2"/>
        <v>ยังไม่ปิดทุน</v>
      </c>
      <c r="N15" s="195" t="s">
        <v>1275</v>
      </c>
      <c r="O15" s="199" t="s">
        <v>1276</v>
      </c>
    </row>
    <row r="16" spans="1:17" ht="96">
      <c r="A16" s="82">
        <f t="shared" si="0"/>
        <v>13</v>
      </c>
      <c r="B16" s="76" t="s">
        <v>452</v>
      </c>
      <c r="C16" s="34" t="s">
        <v>9</v>
      </c>
      <c r="D16" s="35" t="s">
        <v>180</v>
      </c>
      <c r="E16" s="36" t="s">
        <v>181</v>
      </c>
      <c r="F16" s="24" t="s">
        <v>523</v>
      </c>
      <c r="G16" s="24" t="s">
        <v>5</v>
      </c>
      <c r="H16" s="25">
        <v>37500</v>
      </c>
      <c r="I16" s="25">
        <v>37500</v>
      </c>
      <c r="J16" s="25"/>
      <c r="K16" s="26">
        <f t="shared" si="1"/>
        <v>0</v>
      </c>
      <c r="L16" s="25">
        <v>75000</v>
      </c>
      <c r="M16" s="27" t="str">
        <f t="shared" si="2"/>
        <v>ปิดทุน</v>
      </c>
      <c r="N16" s="24"/>
      <c r="P16" s="5" t="s">
        <v>651</v>
      </c>
    </row>
    <row r="17" spans="1:16" s="307" customFormat="1" ht="72">
      <c r="A17" s="297">
        <f t="shared" si="0"/>
        <v>14</v>
      </c>
      <c r="B17" s="298" t="s">
        <v>453</v>
      </c>
      <c r="C17" s="299" t="s">
        <v>13</v>
      </c>
      <c r="D17" s="300" t="s">
        <v>55</v>
      </c>
      <c r="E17" s="301" t="s">
        <v>56</v>
      </c>
      <c r="F17" s="302" t="s">
        <v>523</v>
      </c>
      <c r="G17" s="302" t="s">
        <v>5</v>
      </c>
      <c r="H17" s="303">
        <v>37500</v>
      </c>
      <c r="I17" s="303">
        <v>37500</v>
      </c>
      <c r="J17" s="303"/>
      <c r="K17" s="304">
        <f t="shared" si="1"/>
        <v>0</v>
      </c>
      <c r="L17" s="303">
        <v>75000</v>
      </c>
      <c r="M17" s="305" t="str">
        <f t="shared" si="2"/>
        <v>ปิดทุน</v>
      </c>
      <c r="N17" s="302" t="s">
        <v>1151</v>
      </c>
      <c r="O17" s="306" t="s">
        <v>1278</v>
      </c>
    </row>
    <row r="18" spans="1:16" ht="120">
      <c r="A18" s="82">
        <f t="shared" si="0"/>
        <v>15</v>
      </c>
      <c r="B18" s="76" t="s">
        <v>502</v>
      </c>
      <c r="C18" s="37" t="s">
        <v>58</v>
      </c>
      <c r="D18" s="35" t="s">
        <v>59</v>
      </c>
      <c r="E18" s="36" t="s">
        <v>60</v>
      </c>
      <c r="F18" s="24" t="s">
        <v>520</v>
      </c>
      <c r="G18" s="24" t="s">
        <v>5</v>
      </c>
      <c r="H18" s="25">
        <v>37500</v>
      </c>
      <c r="I18" s="25">
        <v>37500</v>
      </c>
      <c r="J18" s="25"/>
      <c r="K18" s="26">
        <f>H18+I18+J18-L18</f>
        <v>0</v>
      </c>
      <c r="L18" s="25">
        <v>75000</v>
      </c>
      <c r="M18" s="27" t="str">
        <f>IF(K18=0,"ปิดทุน",IF(K18&lt;0,"ยังไม่ปิดทุน","เกินทุน"))</f>
        <v>ปิดทุน</v>
      </c>
      <c r="N18" s="24"/>
    </row>
    <row r="19" spans="1:16" ht="120">
      <c r="A19" s="82">
        <f t="shared" si="0"/>
        <v>16</v>
      </c>
      <c r="B19" s="76" t="s">
        <v>454</v>
      </c>
      <c r="C19" s="37" t="s">
        <v>13</v>
      </c>
      <c r="D19" s="35" t="s">
        <v>62</v>
      </c>
      <c r="E19" s="36" t="s">
        <v>63</v>
      </c>
      <c r="F19" s="24" t="s">
        <v>523</v>
      </c>
      <c r="G19" s="24" t="s">
        <v>5</v>
      </c>
      <c r="H19" s="25">
        <v>37500</v>
      </c>
      <c r="I19" s="25">
        <v>37500</v>
      </c>
      <c r="J19" s="25"/>
      <c r="K19" s="26">
        <f t="shared" si="1"/>
        <v>0</v>
      </c>
      <c r="L19" s="25">
        <v>75000</v>
      </c>
      <c r="M19" s="27" t="str">
        <f t="shared" si="2"/>
        <v>ปิดทุน</v>
      </c>
      <c r="N19" s="24"/>
    </row>
    <row r="20" spans="1:16" ht="48">
      <c r="A20" s="82">
        <f t="shared" si="0"/>
        <v>17</v>
      </c>
      <c r="B20" s="76" t="s">
        <v>455</v>
      </c>
      <c r="C20" s="34" t="s">
        <v>9</v>
      </c>
      <c r="D20" s="35" t="s">
        <v>177</v>
      </c>
      <c r="E20" s="36" t="s">
        <v>178</v>
      </c>
      <c r="F20" s="24" t="s">
        <v>521</v>
      </c>
      <c r="G20" s="24" t="s">
        <v>5</v>
      </c>
      <c r="H20" s="25">
        <v>37500</v>
      </c>
      <c r="I20" s="25">
        <v>37500</v>
      </c>
      <c r="J20" s="25"/>
      <c r="K20" s="26">
        <f t="shared" si="1"/>
        <v>0</v>
      </c>
      <c r="L20" s="25">
        <v>75000</v>
      </c>
      <c r="M20" s="27" t="str">
        <f t="shared" si="2"/>
        <v>ปิดทุน</v>
      </c>
      <c r="N20" s="24"/>
    </row>
    <row r="21" spans="1:16" ht="120">
      <c r="A21" s="82">
        <f t="shared" si="0"/>
        <v>18</v>
      </c>
      <c r="B21" s="76" t="s">
        <v>456</v>
      </c>
      <c r="C21" s="34" t="s">
        <v>9</v>
      </c>
      <c r="D21" s="35" t="s">
        <v>457</v>
      </c>
      <c r="E21" s="36" t="s">
        <v>458</v>
      </c>
      <c r="F21" s="24" t="s">
        <v>521</v>
      </c>
      <c r="G21" s="24" t="s">
        <v>5</v>
      </c>
      <c r="H21" s="25">
        <v>37500</v>
      </c>
      <c r="I21" s="25">
        <v>37500</v>
      </c>
      <c r="J21" s="25"/>
      <c r="K21" s="26">
        <f t="shared" si="1"/>
        <v>0</v>
      </c>
      <c r="L21" s="25">
        <v>75000</v>
      </c>
      <c r="M21" s="27" t="str">
        <f t="shared" si="2"/>
        <v>ปิดทุน</v>
      </c>
      <c r="N21" s="24"/>
      <c r="O21" s="5" t="s">
        <v>1020</v>
      </c>
    </row>
    <row r="22" spans="1:16">
      <c r="A22" s="82">
        <f t="shared" si="0"/>
        <v>19</v>
      </c>
      <c r="B22" s="76" t="s">
        <v>459</v>
      </c>
      <c r="C22" s="34" t="s">
        <v>9</v>
      </c>
      <c r="D22" s="35" t="s">
        <v>399</v>
      </c>
      <c r="E22" s="36" t="s">
        <v>400</v>
      </c>
      <c r="F22" s="24" t="s">
        <v>521</v>
      </c>
      <c r="G22" s="24" t="s">
        <v>5</v>
      </c>
      <c r="H22" s="25">
        <v>37500</v>
      </c>
      <c r="I22" s="25">
        <v>37500</v>
      </c>
      <c r="J22" s="25"/>
      <c r="K22" s="26">
        <f t="shared" si="1"/>
        <v>0</v>
      </c>
      <c r="L22" s="25">
        <v>75000</v>
      </c>
      <c r="M22" s="27" t="str">
        <f t="shared" si="2"/>
        <v>ปิดทุน</v>
      </c>
      <c r="N22" s="24"/>
    </row>
    <row r="23" spans="1:16" ht="72">
      <c r="A23" s="82">
        <f t="shared" si="0"/>
        <v>20</v>
      </c>
      <c r="B23" s="76" t="s">
        <v>460</v>
      </c>
      <c r="C23" s="34" t="s">
        <v>20</v>
      </c>
      <c r="D23" s="35" t="s">
        <v>461</v>
      </c>
      <c r="E23" s="36" t="s">
        <v>462</v>
      </c>
      <c r="F23" s="24" t="s">
        <v>521</v>
      </c>
      <c r="G23" s="24" t="s">
        <v>5</v>
      </c>
      <c r="H23" s="25">
        <v>37500</v>
      </c>
      <c r="I23" s="25">
        <v>37500</v>
      </c>
      <c r="J23" s="25"/>
      <c r="K23" s="26">
        <f t="shared" si="1"/>
        <v>0</v>
      </c>
      <c r="L23" s="25">
        <v>75000</v>
      </c>
      <c r="M23" s="27" t="str">
        <f t="shared" si="2"/>
        <v>ปิดทุน</v>
      </c>
      <c r="N23" s="24"/>
      <c r="P23" s="5" t="s">
        <v>765</v>
      </c>
    </row>
    <row r="24" spans="1:16" ht="120">
      <c r="A24" s="82">
        <f t="shared" si="0"/>
        <v>21</v>
      </c>
      <c r="B24" s="76" t="s">
        <v>463</v>
      </c>
      <c r="C24" s="37" t="s">
        <v>13</v>
      </c>
      <c r="D24" s="35" t="s">
        <v>246</v>
      </c>
      <c r="E24" s="36" t="s">
        <v>247</v>
      </c>
      <c r="F24" s="24" t="s">
        <v>521</v>
      </c>
      <c r="G24" s="24" t="s">
        <v>5</v>
      </c>
      <c r="H24" s="25">
        <v>37500</v>
      </c>
      <c r="I24" s="25">
        <v>37500</v>
      </c>
      <c r="J24" s="25"/>
      <c r="K24" s="26">
        <f t="shared" si="1"/>
        <v>0</v>
      </c>
      <c r="L24" s="25">
        <v>75000</v>
      </c>
      <c r="M24" s="27" t="str">
        <f t="shared" si="2"/>
        <v>ปิดทุน</v>
      </c>
      <c r="N24" s="24"/>
      <c r="P24" s="6" t="s">
        <v>637</v>
      </c>
    </row>
    <row r="25" spans="1:16" ht="48">
      <c r="A25" s="82">
        <f t="shared" si="0"/>
        <v>22</v>
      </c>
      <c r="B25" s="76" t="s">
        <v>464</v>
      </c>
      <c r="C25" s="37" t="s">
        <v>9</v>
      </c>
      <c r="D25" s="35" t="s">
        <v>50</v>
      </c>
      <c r="E25" s="36" t="s">
        <v>175</v>
      </c>
      <c r="F25" s="24" t="s">
        <v>521</v>
      </c>
      <c r="G25" s="24" t="s">
        <v>5</v>
      </c>
      <c r="H25" s="25">
        <v>37500</v>
      </c>
      <c r="I25" s="25">
        <v>37500</v>
      </c>
      <c r="J25" s="25"/>
      <c r="K25" s="26">
        <f t="shared" si="1"/>
        <v>0</v>
      </c>
      <c r="L25" s="25">
        <v>75000</v>
      </c>
      <c r="M25" s="27" t="str">
        <f t="shared" si="2"/>
        <v>ปิดทุน</v>
      </c>
      <c r="N25" s="24"/>
    </row>
    <row r="26" spans="1:16" ht="144">
      <c r="A26" s="82">
        <f t="shared" si="0"/>
        <v>23</v>
      </c>
      <c r="B26" s="76" t="s">
        <v>465</v>
      </c>
      <c r="C26" s="37" t="s">
        <v>9</v>
      </c>
      <c r="D26" s="35" t="s">
        <v>81</v>
      </c>
      <c r="E26" s="36" t="s">
        <v>82</v>
      </c>
      <c r="F26" s="24" t="s">
        <v>526</v>
      </c>
      <c r="G26" s="24" t="s">
        <v>5</v>
      </c>
      <c r="H26" s="25">
        <v>37500</v>
      </c>
      <c r="I26" s="25">
        <v>15000</v>
      </c>
      <c r="J26" s="25">
        <v>22500</v>
      </c>
      <c r="K26" s="26">
        <f t="shared" si="1"/>
        <v>0</v>
      </c>
      <c r="L26" s="25">
        <v>75000</v>
      </c>
      <c r="M26" s="27" t="str">
        <f t="shared" si="2"/>
        <v>ปิดทุน</v>
      </c>
      <c r="N26" s="24"/>
      <c r="O26" s="5" t="s">
        <v>641</v>
      </c>
    </row>
    <row r="27" spans="1:16" ht="72">
      <c r="A27" s="82">
        <f t="shared" si="0"/>
        <v>24</v>
      </c>
      <c r="B27" s="76" t="s">
        <v>631</v>
      </c>
      <c r="C27" s="37" t="s">
        <v>9</v>
      </c>
      <c r="D27" s="35" t="s">
        <v>221</v>
      </c>
      <c r="E27" s="36" t="s">
        <v>222</v>
      </c>
      <c r="F27" s="24" t="s">
        <v>526</v>
      </c>
      <c r="G27" s="24" t="s">
        <v>5</v>
      </c>
      <c r="H27" s="25">
        <v>37500</v>
      </c>
      <c r="I27" s="25">
        <v>37500</v>
      </c>
      <c r="J27" s="25"/>
      <c r="K27" s="26">
        <f t="shared" si="1"/>
        <v>0</v>
      </c>
      <c r="L27" s="25">
        <v>75000</v>
      </c>
      <c r="M27" s="27" t="str">
        <f t="shared" si="2"/>
        <v>ปิดทุน</v>
      </c>
      <c r="N27" s="24"/>
      <c r="P27" s="1" t="s">
        <v>630</v>
      </c>
    </row>
    <row r="28" spans="1:16" ht="48">
      <c r="A28" s="82">
        <f t="shared" si="0"/>
        <v>25</v>
      </c>
      <c r="B28" s="76" t="s">
        <v>466</v>
      </c>
      <c r="C28" s="37" t="s">
        <v>9</v>
      </c>
      <c r="D28" s="35" t="s">
        <v>84</v>
      </c>
      <c r="E28" s="36" t="s">
        <v>85</v>
      </c>
      <c r="F28" s="24" t="s">
        <v>526</v>
      </c>
      <c r="G28" s="24" t="s">
        <v>5</v>
      </c>
      <c r="H28" s="25">
        <v>37500</v>
      </c>
      <c r="I28" s="25">
        <v>37500</v>
      </c>
      <c r="J28" s="25"/>
      <c r="K28" s="26">
        <f t="shared" si="1"/>
        <v>0</v>
      </c>
      <c r="L28" s="25">
        <v>75000</v>
      </c>
      <c r="M28" s="27" t="str">
        <f t="shared" si="2"/>
        <v>ปิดทุน</v>
      </c>
      <c r="N28" s="24"/>
    </row>
    <row r="29" spans="1:16" ht="96">
      <c r="A29" s="82">
        <f t="shared" si="0"/>
        <v>26</v>
      </c>
      <c r="B29" s="76" t="s">
        <v>467</v>
      </c>
      <c r="C29" s="37" t="s">
        <v>9</v>
      </c>
      <c r="D29" s="53" t="s">
        <v>285</v>
      </c>
      <c r="E29" s="54" t="s">
        <v>286</v>
      </c>
      <c r="F29" s="24" t="s">
        <v>526</v>
      </c>
      <c r="G29" s="24" t="s">
        <v>5</v>
      </c>
      <c r="H29" s="25">
        <v>37500</v>
      </c>
      <c r="I29" s="25">
        <v>37500</v>
      </c>
      <c r="J29" s="25"/>
      <c r="K29" s="26">
        <f t="shared" ref="K29:K38" si="3">H29+I29+J29-L29</f>
        <v>0</v>
      </c>
      <c r="L29" s="25">
        <v>75000</v>
      </c>
      <c r="M29" s="27" t="str">
        <f t="shared" ref="M29:M38" si="4">IF(K29=0,"ปิดทุน",IF(K29&lt;0,"ยังไม่ปิดทุน","เกินทุน"))</f>
        <v>ปิดทุน</v>
      </c>
      <c r="N29" s="24"/>
    </row>
    <row r="30" spans="1:16" ht="96">
      <c r="A30" s="82">
        <f t="shared" si="0"/>
        <v>27</v>
      </c>
      <c r="B30" s="76" t="s">
        <v>468</v>
      </c>
      <c r="C30" s="37" t="s">
        <v>9</v>
      </c>
      <c r="D30" s="35" t="s">
        <v>386</v>
      </c>
      <c r="E30" s="36" t="s">
        <v>387</v>
      </c>
      <c r="F30" s="24" t="s">
        <v>526</v>
      </c>
      <c r="G30" s="24" t="s">
        <v>5</v>
      </c>
      <c r="H30" s="25">
        <v>37500</v>
      </c>
      <c r="I30" s="25">
        <v>37500</v>
      </c>
      <c r="J30" s="25"/>
      <c r="K30" s="26">
        <f t="shared" si="3"/>
        <v>0</v>
      </c>
      <c r="L30" s="25">
        <v>75000</v>
      </c>
      <c r="M30" s="27" t="str">
        <f t="shared" si="4"/>
        <v>ปิดทุน</v>
      </c>
      <c r="N30" s="24" t="s">
        <v>886</v>
      </c>
    </row>
    <row r="31" spans="1:16" ht="72">
      <c r="A31" s="82">
        <f t="shared" si="0"/>
        <v>28</v>
      </c>
      <c r="B31" s="76" t="s">
        <v>469</v>
      </c>
      <c r="C31" s="37" t="s">
        <v>9</v>
      </c>
      <c r="D31" s="35" t="s">
        <v>470</v>
      </c>
      <c r="E31" s="36" t="s">
        <v>471</v>
      </c>
      <c r="F31" s="24" t="s">
        <v>525</v>
      </c>
      <c r="G31" s="24" t="s">
        <v>5</v>
      </c>
      <c r="H31" s="25">
        <v>27500</v>
      </c>
      <c r="I31" s="25">
        <v>27500</v>
      </c>
      <c r="J31" s="25"/>
      <c r="K31" s="26">
        <f t="shared" si="3"/>
        <v>0</v>
      </c>
      <c r="L31" s="25">
        <v>55000</v>
      </c>
      <c r="M31" s="27" t="str">
        <f t="shared" si="4"/>
        <v>ปิดทุน</v>
      </c>
      <c r="N31" s="24"/>
    </row>
    <row r="32" spans="1:16" ht="86.25" customHeight="1">
      <c r="A32" s="82">
        <f t="shared" si="0"/>
        <v>29</v>
      </c>
      <c r="B32" s="76" t="s">
        <v>472</v>
      </c>
      <c r="C32" s="34" t="s">
        <v>13</v>
      </c>
      <c r="D32" s="35" t="s">
        <v>190</v>
      </c>
      <c r="E32" s="36" t="s">
        <v>191</v>
      </c>
      <c r="F32" s="24" t="s">
        <v>525</v>
      </c>
      <c r="G32" s="24" t="s">
        <v>5</v>
      </c>
      <c r="H32" s="25">
        <v>27500</v>
      </c>
      <c r="I32" s="25">
        <v>27500</v>
      </c>
      <c r="J32" s="25"/>
      <c r="K32" s="26">
        <f t="shared" si="3"/>
        <v>0</v>
      </c>
      <c r="L32" s="25">
        <v>55000</v>
      </c>
      <c r="M32" s="27" t="str">
        <f t="shared" si="4"/>
        <v>ปิดทุน</v>
      </c>
      <c r="N32" s="24"/>
    </row>
    <row r="33" spans="1:16" ht="120">
      <c r="A33" s="82">
        <f t="shared" si="0"/>
        <v>30</v>
      </c>
      <c r="B33" s="76" t="s">
        <v>473</v>
      </c>
      <c r="C33" s="37" t="s">
        <v>9</v>
      </c>
      <c r="D33" s="35" t="s">
        <v>30</v>
      </c>
      <c r="E33" s="36" t="s">
        <v>31</v>
      </c>
      <c r="F33" s="24" t="s">
        <v>519</v>
      </c>
      <c r="G33" s="24" t="s">
        <v>5</v>
      </c>
      <c r="H33" s="25">
        <v>27500</v>
      </c>
      <c r="I33" s="25">
        <v>27500</v>
      </c>
      <c r="J33" s="25"/>
      <c r="K33" s="26">
        <f t="shared" si="3"/>
        <v>0</v>
      </c>
      <c r="L33" s="25">
        <v>55000</v>
      </c>
      <c r="M33" s="27" t="str">
        <f t="shared" si="4"/>
        <v>ปิดทุน</v>
      </c>
      <c r="N33" s="24"/>
    </row>
    <row r="34" spans="1:16" ht="48">
      <c r="A34" s="82">
        <f t="shared" si="0"/>
        <v>31</v>
      </c>
      <c r="B34" s="76" t="s">
        <v>474</v>
      </c>
      <c r="C34" s="37" t="s">
        <v>9</v>
      </c>
      <c r="D34" s="35" t="s">
        <v>202</v>
      </c>
      <c r="E34" s="36" t="s">
        <v>203</v>
      </c>
      <c r="F34" s="24" t="s">
        <v>519</v>
      </c>
      <c r="G34" s="24" t="s">
        <v>5</v>
      </c>
      <c r="H34" s="25">
        <v>27500</v>
      </c>
      <c r="I34" s="25">
        <v>27500</v>
      </c>
      <c r="J34" s="25"/>
      <c r="K34" s="26">
        <f t="shared" si="3"/>
        <v>0</v>
      </c>
      <c r="L34" s="25">
        <v>55000</v>
      </c>
      <c r="M34" s="27" t="str">
        <f t="shared" si="4"/>
        <v>ปิดทุน</v>
      </c>
      <c r="N34" s="24"/>
      <c r="P34" s="1" t="s">
        <v>636</v>
      </c>
    </row>
    <row r="35" spans="1:16" ht="48">
      <c r="A35" s="82">
        <f t="shared" si="0"/>
        <v>32</v>
      </c>
      <c r="B35" s="76" t="s">
        <v>475</v>
      </c>
      <c r="C35" s="37" t="s">
        <v>9</v>
      </c>
      <c r="D35" s="35" t="s">
        <v>270</v>
      </c>
      <c r="E35" s="36" t="s">
        <v>271</v>
      </c>
      <c r="F35" s="24" t="s">
        <v>519</v>
      </c>
      <c r="G35" s="24" t="s">
        <v>5</v>
      </c>
      <c r="H35" s="25">
        <v>27500</v>
      </c>
      <c r="I35" s="25">
        <v>27500</v>
      </c>
      <c r="J35" s="25"/>
      <c r="K35" s="26">
        <f t="shared" si="3"/>
        <v>0</v>
      </c>
      <c r="L35" s="25">
        <v>55000</v>
      </c>
      <c r="M35" s="27" t="str">
        <f t="shared" si="4"/>
        <v>ปิดทุน</v>
      </c>
      <c r="N35" s="24"/>
      <c r="P35" s="5" t="s">
        <v>547</v>
      </c>
    </row>
    <row r="36" spans="1:16" s="199" customFormat="1" ht="72">
      <c r="A36" s="191">
        <f t="shared" si="0"/>
        <v>33</v>
      </c>
      <c r="B36" s="192" t="s">
        <v>477</v>
      </c>
      <c r="C36" s="206" t="s">
        <v>13</v>
      </c>
      <c r="D36" s="193" t="s">
        <v>47</v>
      </c>
      <c r="E36" s="194" t="s">
        <v>48</v>
      </c>
      <c r="F36" s="195" t="s">
        <v>519</v>
      </c>
      <c r="G36" s="195" t="s">
        <v>5</v>
      </c>
      <c r="H36" s="196">
        <v>27500</v>
      </c>
      <c r="I36" s="196"/>
      <c r="J36" s="196"/>
      <c r="K36" s="197">
        <f t="shared" si="3"/>
        <v>-27500</v>
      </c>
      <c r="L36" s="196">
        <v>55000</v>
      </c>
      <c r="M36" s="198" t="str">
        <f t="shared" si="4"/>
        <v>ยังไม่ปิดทุน</v>
      </c>
      <c r="N36" s="195" t="s">
        <v>396</v>
      </c>
    </row>
    <row r="37" spans="1:16" ht="72">
      <c r="A37" s="82">
        <f t="shared" si="0"/>
        <v>34</v>
      </c>
      <c r="B37" s="76" t="s">
        <v>476</v>
      </c>
      <c r="C37" s="37" t="s">
        <v>13</v>
      </c>
      <c r="D37" s="35" t="s">
        <v>24</v>
      </c>
      <c r="E37" s="36" t="s">
        <v>25</v>
      </c>
      <c r="F37" s="24" t="s">
        <v>519</v>
      </c>
      <c r="G37" s="24" t="s">
        <v>5</v>
      </c>
      <c r="H37" s="25">
        <v>27500</v>
      </c>
      <c r="I37" s="25">
        <v>27500</v>
      </c>
      <c r="J37" s="25"/>
      <c r="K37" s="26">
        <f t="shared" si="3"/>
        <v>0</v>
      </c>
      <c r="L37" s="25">
        <v>55000</v>
      </c>
      <c r="M37" s="27" t="str">
        <f t="shared" si="4"/>
        <v>ปิดทุน</v>
      </c>
      <c r="N37" s="140">
        <v>242689</v>
      </c>
      <c r="P37" s="5" t="s">
        <v>855</v>
      </c>
    </row>
    <row r="38" spans="1:16" ht="48">
      <c r="A38" s="82">
        <f t="shared" si="0"/>
        <v>35</v>
      </c>
      <c r="B38" s="76" t="s">
        <v>872</v>
      </c>
      <c r="C38" s="37" t="s">
        <v>13</v>
      </c>
      <c r="D38" s="35" t="s">
        <v>397</v>
      </c>
      <c r="E38" s="36" t="s">
        <v>398</v>
      </c>
      <c r="F38" s="24" t="s">
        <v>524</v>
      </c>
      <c r="G38" s="24" t="s">
        <v>5</v>
      </c>
      <c r="H38" s="25">
        <v>27500</v>
      </c>
      <c r="I38" s="25">
        <v>27500</v>
      </c>
      <c r="J38" s="25"/>
      <c r="K38" s="26">
        <f t="shared" si="3"/>
        <v>0</v>
      </c>
      <c r="L38" s="25">
        <v>55000</v>
      </c>
      <c r="M38" s="27" t="str">
        <f t="shared" si="4"/>
        <v>ปิดทุน</v>
      </c>
      <c r="N38" s="24"/>
      <c r="P38" s="5" t="s">
        <v>866</v>
      </c>
    </row>
    <row r="39" spans="1:16" ht="96">
      <c r="A39" s="82">
        <f t="shared" si="0"/>
        <v>36</v>
      </c>
      <c r="B39" s="76" t="s">
        <v>478</v>
      </c>
      <c r="C39" s="37" t="s">
        <v>9</v>
      </c>
      <c r="D39" s="35" t="s">
        <v>479</v>
      </c>
      <c r="E39" s="36" t="s">
        <v>480</v>
      </c>
      <c r="F39" s="24" t="s">
        <v>524</v>
      </c>
      <c r="G39" s="24" t="s">
        <v>5</v>
      </c>
      <c r="H39" s="25">
        <v>27500</v>
      </c>
      <c r="I39" s="25">
        <v>27500</v>
      </c>
      <c r="J39" s="25"/>
      <c r="K39" s="26">
        <f t="shared" ref="K39:K51" si="5">H39+I39+J39-L39</f>
        <v>0</v>
      </c>
      <c r="L39" s="25">
        <v>55000</v>
      </c>
      <c r="M39" s="27" t="str">
        <f t="shared" ref="M39:M51" si="6">IF(K39=0,"ปิดทุน",IF(K39&lt;0,"ยังไม่ปิดทุน","เกินทุน"))</f>
        <v>ปิดทุน</v>
      </c>
      <c r="N39" s="24"/>
    </row>
    <row r="40" spans="1:16" ht="72">
      <c r="A40" s="82">
        <f t="shared" si="0"/>
        <v>37</v>
      </c>
      <c r="B40" s="76" t="s">
        <v>481</v>
      </c>
      <c r="C40" s="37" t="s">
        <v>13</v>
      </c>
      <c r="D40" s="35" t="s">
        <v>8</v>
      </c>
      <c r="E40" s="36" t="s">
        <v>10</v>
      </c>
      <c r="F40" s="24" t="s">
        <v>524</v>
      </c>
      <c r="G40" s="24" t="s">
        <v>5</v>
      </c>
      <c r="H40" s="25">
        <v>27500</v>
      </c>
      <c r="I40" s="25">
        <v>11000</v>
      </c>
      <c r="J40" s="25">
        <v>16500</v>
      </c>
      <c r="K40" s="26">
        <f t="shared" si="5"/>
        <v>0</v>
      </c>
      <c r="L40" s="25">
        <v>55000</v>
      </c>
      <c r="M40" s="27" t="str">
        <f t="shared" si="6"/>
        <v>ปิดทุน</v>
      </c>
      <c r="P40" s="24" t="s">
        <v>542</v>
      </c>
    </row>
    <row r="41" spans="1:16" ht="72">
      <c r="A41" s="82">
        <f t="shared" si="0"/>
        <v>38</v>
      </c>
      <c r="B41" s="76" t="s">
        <v>482</v>
      </c>
      <c r="C41" s="37" t="s">
        <v>9</v>
      </c>
      <c r="D41" s="35" t="s">
        <v>367</v>
      </c>
      <c r="E41" s="36" t="s">
        <v>368</v>
      </c>
      <c r="F41" s="24" t="s">
        <v>524</v>
      </c>
      <c r="G41" s="24" t="s">
        <v>5</v>
      </c>
      <c r="H41" s="25">
        <v>27500</v>
      </c>
      <c r="I41" s="25">
        <v>27500</v>
      </c>
      <c r="J41" s="25"/>
      <c r="K41" s="26">
        <f t="shared" si="5"/>
        <v>0</v>
      </c>
      <c r="L41" s="25">
        <v>55000</v>
      </c>
      <c r="M41" s="27" t="str">
        <f t="shared" si="6"/>
        <v>ปิดทุน</v>
      </c>
      <c r="N41" s="24"/>
    </row>
    <row r="42" spans="1:16" ht="120">
      <c r="A42" s="82">
        <f t="shared" si="0"/>
        <v>39</v>
      </c>
      <c r="B42" s="76" t="s">
        <v>483</v>
      </c>
      <c r="C42" s="37" t="s">
        <v>9</v>
      </c>
      <c r="D42" s="35" t="s">
        <v>361</v>
      </c>
      <c r="E42" s="36" t="s">
        <v>362</v>
      </c>
      <c r="F42" s="24" t="s">
        <v>524</v>
      </c>
      <c r="G42" s="24" t="s">
        <v>5</v>
      </c>
      <c r="H42" s="25">
        <v>27500</v>
      </c>
      <c r="I42" s="25">
        <v>27500</v>
      </c>
      <c r="J42" s="25"/>
      <c r="K42" s="26">
        <f t="shared" si="5"/>
        <v>0</v>
      </c>
      <c r="L42" s="25">
        <v>55000</v>
      </c>
      <c r="M42" s="27" t="str">
        <f t="shared" si="6"/>
        <v>ปิดทุน</v>
      </c>
      <c r="N42" s="24"/>
    </row>
    <row r="43" spans="1:16" ht="72">
      <c r="A43" s="82">
        <f t="shared" si="0"/>
        <v>40</v>
      </c>
      <c r="B43" s="76" t="s">
        <v>484</v>
      </c>
      <c r="C43" s="37" t="s">
        <v>20</v>
      </c>
      <c r="D43" s="35" t="s">
        <v>485</v>
      </c>
      <c r="E43" s="36" t="s">
        <v>486</v>
      </c>
      <c r="F43" s="24" t="s">
        <v>524</v>
      </c>
      <c r="G43" s="24" t="s">
        <v>5</v>
      </c>
      <c r="H43" s="25">
        <v>27500</v>
      </c>
      <c r="I43" s="25">
        <v>27500</v>
      </c>
      <c r="J43" s="25"/>
      <c r="K43" s="26">
        <f t="shared" si="5"/>
        <v>0</v>
      </c>
      <c r="L43" s="25">
        <v>55000</v>
      </c>
      <c r="M43" s="27" t="str">
        <f t="shared" si="6"/>
        <v>ปิดทุน</v>
      </c>
      <c r="P43" s="24" t="s">
        <v>546</v>
      </c>
    </row>
    <row r="44" spans="1:16" ht="120">
      <c r="A44" s="82">
        <f t="shared" si="0"/>
        <v>41</v>
      </c>
      <c r="B44" s="76" t="s">
        <v>487</v>
      </c>
      <c r="C44" s="37" t="s">
        <v>13</v>
      </c>
      <c r="D44" s="35" t="s">
        <v>17</v>
      </c>
      <c r="E44" s="36" t="s">
        <v>18</v>
      </c>
      <c r="F44" s="24" t="s">
        <v>524</v>
      </c>
      <c r="G44" s="24" t="s">
        <v>5</v>
      </c>
      <c r="H44" s="25">
        <v>27500</v>
      </c>
      <c r="I44" s="25">
        <v>11000</v>
      </c>
      <c r="J44" s="25">
        <v>16500</v>
      </c>
      <c r="K44" s="26">
        <f t="shared" si="5"/>
        <v>0</v>
      </c>
      <c r="L44" s="25">
        <v>55000</v>
      </c>
      <c r="M44" s="27" t="str">
        <f t="shared" si="6"/>
        <v>ปิดทุน</v>
      </c>
      <c r="N44" s="24"/>
    </row>
    <row r="45" spans="1:16" ht="96">
      <c r="A45" s="82">
        <f t="shared" si="0"/>
        <v>42</v>
      </c>
      <c r="B45" s="76" t="s">
        <v>488</v>
      </c>
      <c r="C45" s="37" t="s">
        <v>13</v>
      </c>
      <c r="D45" s="35" t="s">
        <v>14</v>
      </c>
      <c r="E45" s="36" t="s">
        <v>15</v>
      </c>
      <c r="F45" s="24" t="s">
        <v>524</v>
      </c>
      <c r="G45" s="24" t="s">
        <v>5</v>
      </c>
      <c r="H45" s="25">
        <v>27500</v>
      </c>
      <c r="I45" s="25">
        <v>27500</v>
      </c>
      <c r="J45" s="25"/>
      <c r="K45" s="26">
        <f t="shared" si="5"/>
        <v>0</v>
      </c>
      <c r="L45" s="25">
        <v>55000</v>
      </c>
      <c r="M45" s="27" t="str">
        <f t="shared" si="6"/>
        <v>ปิดทุน</v>
      </c>
      <c r="N45" s="24"/>
    </row>
    <row r="46" spans="1:16" ht="72">
      <c r="A46" s="82">
        <f t="shared" si="0"/>
        <v>43</v>
      </c>
      <c r="B46" s="76" t="s">
        <v>489</v>
      </c>
      <c r="C46" s="37" t="s">
        <v>9</v>
      </c>
      <c r="D46" s="35" t="s">
        <v>152</v>
      </c>
      <c r="E46" s="36" t="s">
        <v>15</v>
      </c>
      <c r="F46" s="24" t="s">
        <v>524</v>
      </c>
      <c r="G46" s="24" t="s">
        <v>5</v>
      </c>
      <c r="H46" s="25">
        <v>27500</v>
      </c>
      <c r="I46" s="25">
        <v>27500</v>
      </c>
      <c r="J46" s="25"/>
      <c r="K46" s="26">
        <f t="shared" si="5"/>
        <v>0</v>
      </c>
      <c r="L46" s="25">
        <v>55000</v>
      </c>
      <c r="M46" s="27" t="str">
        <f t="shared" si="6"/>
        <v>ปิดทุน</v>
      </c>
      <c r="N46" s="24"/>
    </row>
    <row r="47" spans="1:16" ht="144">
      <c r="A47" s="82">
        <f t="shared" si="0"/>
        <v>44</v>
      </c>
      <c r="B47" s="76" t="s">
        <v>490</v>
      </c>
      <c r="C47" s="37" t="s">
        <v>114</v>
      </c>
      <c r="D47" s="35" t="s">
        <v>491</v>
      </c>
      <c r="E47" s="36" t="s">
        <v>492</v>
      </c>
      <c r="F47" s="24" t="s">
        <v>520</v>
      </c>
      <c r="G47" s="24" t="s">
        <v>5</v>
      </c>
      <c r="H47" s="25">
        <v>27500</v>
      </c>
      <c r="I47" s="25">
        <v>11000</v>
      </c>
      <c r="J47" s="25">
        <v>16500</v>
      </c>
      <c r="K47" s="26">
        <f t="shared" si="5"/>
        <v>0</v>
      </c>
      <c r="L47" s="25">
        <v>55000</v>
      </c>
      <c r="M47" s="27" t="str">
        <f t="shared" si="6"/>
        <v>ปิดทุน</v>
      </c>
      <c r="N47" s="24"/>
    </row>
    <row r="48" spans="1:16" ht="120">
      <c r="A48" s="82">
        <f t="shared" si="0"/>
        <v>45</v>
      </c>
      <c r="B48" s="76" t="s">
        <v>493</v>
      </c>
      <c r="C48" s="37" t="s">
        <v>58</v>
      </c>
      <c r="D48" s="35" t="s">
        <v>393</v>
      </c>
      <c r="E48" s="36" t="s">
        <v>394</v>
      </c>
      <c r="F48" s="24" t="s">
        <v>520</v>
      </c>
      <c r="G48" s="24" t="s">
        <v>5</v>
      </c>
      <c r="H48" s="25">
        <v>27500</v>
      </c>
      <c r="I48" s="25">
        <v>27500</v>
      </c>
      <c r="J48" s="25"/>
      <c r="K48" s="26">
        <f t="shared" si="5"/>
        <v>0</v>
      </c>
      <c r="L48" s="25">
        <v>55000</v>
      </c>
      <c r="M48" s="27" t="str">
        <f t="shared" si="6"/>
        <v>ปิดทุน</v>
      </c>
      <c r="N48" s="24"/>
      <c r="P48" s="5" t="s">
        <v>654</v>
      </c>
    </row>
    <row r="49" spans="1:17" s="183" customFormat="1" ht="72">
      <c r="A49" s="174">
        <f t="shared" si="0"/>
        <v>46</v>
      </c>
      <c r="B49" s="175" t="s">
        <v>536</v>
      </c>
      <c r="C49" s="176" t="s">
        <v>540</v>
      </c>
      <c r="D49" s="177" t="s">
        <v>494</v>
      </c>
      <c r="E49" s="178" t="s">
        <v>495</v>
      </c>
      <c r="F49" s="179" t="s">
        <v>524</v>
      </c>
      <c r="G49" s="179" t="s">
        <v>96</v>
      </c>
      <c r="H49" s="180">
        <v>20000</v>
      </c>
      <c r="I49" s="180">
        <v>20000</v>
      </c>
      <c r="J49" s="180"/>
      <c r="K49" s="181">
        <f t="shared" si="5"/>
        <v>0</v>
      </c>
      <c r="L49" s="180">
        <v>40000</v>
      </c>
      <c r="M49" s="182" t="str">
        <f t="shared" si="6"/>
        <v>ปิดทุน</v>
      </c>
      <c r="N49" s="179"/>
      <c r="Q49" s="183" t="s">
        <v>541</v>
      </c>
    </row>
    <row r="50" spans="1:17" ht="168">
      <c r="A50" s="82">
        <f t="shared" si="0"/>
        <v>47</v>
      </c>
      <c r="B50" s="76" t="s">
        <v>496</v>
      </c>
      <c r="C50" s="37" t="s">
        <v>87</v>
      </c>
      <c r="D50" s="35" t="s">
        <v>497</v>
      </c>
      <c r="E50" s="36" t="s">
        <v>194</v>
      </c>
      <c r="F50" s="24" t="s">
        <v>524</v>
      </c>
      <c r="G50" s="24" t="s">
        <v>96</v>
      </c>
      <c r="H50" s="25">
        <v>20000</v>
      </c>
      <c r="I50" s="25">
        <v>8000</v>
      </c>
      <c r="J50" s="25">
        <v>12000</v>
      </c>
      <c r="K50" s="26">
        <f t="shared" si="5"/>
        <v>0</v>
      </c>
      <c r="L50" s="25">
        <v>40000</v>
      </c>
      <c r="M50" s="27" t="str">
        <f t="shared" si="6"/>
        <v>ปิดทุน</v>
      </c>
      <c r="N50" s="24" t="s">
        <v>884</v>
      </c>
      <c r="P50" s="5" t="s">
        <v>877</v>
      </c>
    </row>
    <row r="51" spans="1:17" ht="120">
      <c r="A51" s="82">
        <f t="shared" si="0"/>
        <v>48</v>
      </c>
      <c r="B51" s="76" t="s">
        <v>498</v>
      </c>
      <c r="C51" s="37" t="s">
        <v>114</v>
      </c>
      <c r="D51" s="35" t="s">
        <v>515</v>
      </c>
      <c r="E51" s="36" t="s">
        <v>499</v>
      </c>
      <c r="F51" s="24" t="s">
        <v>520</v>
      </c>
      <c r="G51" s="24" t="s">
        <v>96</v>
      </c>
      <c r="H51" s="25">
        <v>20000</v>
      </c>
      <c r="I51" s="25">
        <v>8000</v>
      </c>
      <c r="J51" s="24">
        <v>12000</v>
      </c>
      <c r="K51" s="26">
        <f t="shared" si="5"/>
        <v>0</v>
      </c>
      <c r="L51" s="25">
        <v>40000</v>
      </c>
      <c r="M51" s="27" t="str">
        <f t="shared" si="6"/>
        <v>ปิดทุน</v>
      </c>
      <c r="N51" s="24" t="s">
        <v>885</v>
      </c>
      <c r="O51" s="8">
        <f>SUM(L4:L51)</f>
        <v>3135000</v>
      </c>
      <c r="P51" s="8" t="s">
        <v>878</v>
      </c>
    </row>
    <row r="52" spans="1:17">
      <c r="B52" s="5"/>
      <c r="H52" s="5"/>
      <c r="I52" s="5"/>
      <c r="J52" s="5"/>
      <c r="K52" s="5"/>
      <c r="L52" s="8">
        <f>SUM(L4:L51)</f>
        <v>3135000</v>
      </c>
    </row>
    <row r="53" spans="1:17">
      <c r="B53" s="5"/>
      <c r="K53" s="5"/>
      <c r="L53" s="5"/>
    </row>
    <row r="54" spans="1:17">
      <c r="B54" s="5"/>
      <c r="K54" s="5"/>
      <c r="L54" s="5"/>
    </row>
    <row r="55" spans="1:17">
      <c r="B55" s="5"/>
      <c r="K55" s="5"/>
      <c r="L55" s="5"/>
    </row>
    <row r="56" spans="1:17">
      <c r="B56" s="5"/>
      <c r="K56" s="5"/>
      <c r="L56" s="5"/>
    </row>
    <row r="57" spans="1:17">
      <c r="B57" s="5"/>
      <c r="K57" s="5"/>
      <c r="L57" s="5"/>
    </row>
    <row r="58" spans="1:17">
      <c r="B58" s="5"/>
      <c r="K58" s="5"/>
      <c r="L58" s="5"/>
    </row>
    <row r="59" spans="1:17">
      <c r="B59" s="5"/>
      <c r="K59" s="5"/>
      <c r="L59" s="5"/>
    </row>
    <row r="60" spans="1:17">
      <c r="B60" s="5"/>
      <c r="H60" s="5"/>
      <c r="I60" s="5"/>
      <c r="J60" s="5"/>
      <c r="K60" s="5"/>
      <c r="L60" s="5"/>
    </row>
    <row r="61" spans="1:17">
      <c r="B61" s="5"/>
      <c r="H61" s="5"/>
      <c r="I61" s="5"/>
      <c r="J61" s="5"/>
      <c r="K61" s="5"/>
      <c r="L61" s="5"/>
    </row>
    <row r="62" spans="1:17">
      <c r="B62" s="5"/>
      <c r="H62" s="5"/>
      <c r="I62" s="5"/>
      <c r="J62" s="5"/>
      <c r="K62" s="5"/>
      <c r="L62" s="5"/>
    </row>
    <row r="63" spans="1:17">
      <c r="B63" s="5"/>
      <c r="H63" s="5"/>
      <c r="I63" s="5"/>
      <c r="J63" s="5"/>
      <c r="K63" s="5"/>
      <c r="L63" s="5"/>
    </row>
    <row r="64" spans="1:17">
      <c r="B64" s="5"/>
      <c r="H64" s="5"/>
      <c r="I64" s="5"/>
      <c r="J64" s="5"/>
      <c r="K64" s="5"/>
      <c r="L64" s="5"/>
    </row>
    <row r="65" spans="2:12">
      <c r="B65" s="5"/>
      <c r="H65" s="5"/>
      <c r="I65" s="5"/>
      <c r="J65" s="5"/>
      <c r="K65" s="5"/>
      <c r="L65" s="5"/>
    </row>
    <row r="66" spans="2:12">
      <c r="B66" s="5"/>
      <c r="H66" s="5"/>
      <c r="I66" s="5"/>
      <c r="J66" s="5"/>
      <c r="K66" s="5"/>
      <c r="L66" s="5"/>
    </row>
    <row r="67" spans="2:12">
      <c r="B67" s="5"/>
      <c r="H67" s="5"/>
      <c r="I67" s="5"/>
      <c r="J67" s="5"/>
      <c r="K67" s="5"/>
      <c r="L67" s="5"/>
    </row>
    <row r="68" spans="2:12">
      <c r="B68" s="5"/>
      <c r="H68" s="5"/>
      <c r="I68" s="5"/>
      <c r="J68" s="5"/>
      <c r="K68" s="5"/>
      <c r="L68" s="5"/>
    </row>
    <row r="69" spans="2:12">
      <c r="B69" s="5"/>
      <c r="H69" s="5"/>
      <c r="I69" s="5"/>
      <c r="J69" s="5"/>
      <c r="K69" s="5"/>
      <c r="L69" s="5"/>
    </row>
    <row r="70" spans="2:12">
      <c r="B70" s="5"/>
      <c r="H70" s="5"/>
      <c r="I70" s="5"/>
      <c r="J70" s="5"/>
      <c r="K70" s="5"/>
      <c r="L70" s="5"/>
    </row>
    <row r="71" spans="2:12">
      <c r="B71" s="5"/>
      <c r="H71" s="5"/>
      <c r="I71" s="5"/>
      <c r="J71" s="5"/>
      <c r="K71" s="5"/>
      <c r="L71" s="5"/>
    </row>
  </sheetData>
  <mergeCells count="9">
    <mergeCell ref="A1:O1"/>
    <mergeCell ref="M2:M3"/>
    <mergeCell ref="N2:N3"/>
    <mergeCell ref="H2:L2"/>
    <mergeCell ref="A2:A3"/>
    <mergeCell ref="B2:B3"/>
    <mergeCell ref="C2:E3"/>
    <mergeCell ref="F2:F3"/>
    <mergeCell ref="G2:G3"/>
  </mergeCell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6699"/>
    <pageSetUpPr fitToPage="1"/>
  </sheetPr>
  <dimension ref="A1:S67"/>
  <sheetViews>
    <sheetView zoomScale="70" zoomScaleNormal="70" workbookViewId="0">
      <pane xSplit="1" ySplit="3" topLeftCell="B4" activePane="bottomRight" state="frozen"/>
      <selection pane="topRight" activeCell="B1" sqref="B1"/>
      <selection pane="bottomLeft" activeCell="A4" sqref="A4"/>
      <selection pane="bottomRight" activeCell="L47" sqref="L47"/>
    </sheetView>
  </sheetViews>
  <sheetFormatPr defaultColWidth="9" defaultRowHeight="24"/>
  <cols>
    <col min="1" max="1" width="6.33203125" style="7" bestFit="1" customWidth="1"/>
    <col min="2" max="2" width="47" style="6" customWidth="1"/>
    <col min="3" max="3" width="12.109375" style="5" customWidth="1"/>
    <col min="4" max="4" width="29.88671875" style="5" customWidth="1"/>
    <col min="5" max="5" width="13.44140625" style="5" bestFit="1" customWidth="1"/>
    <col min="6" max="6" width="7" style="5" bestFit="1" customWidth="1"/>
    <col min="7" max="7" width="15.33203125" style="5" customWidth="1"/>
    <col min="8" max="8" width="13.44140625" style="8" customWidth="1"/>
    <col min="9" max="9" width="14" style="8" customWidth="1"/>
    <col min="10" max="10" width="15.109375" style="8" bestFit="1" customWidth="1"/>
    <col min="11" max="11" width="19" style="9" bestFit="1" customWidth="1"/>
    <col min="12" max="12" width="21.88671875" style="8" customWidth="1"/>
    <col min="13" max="13" width="15.6640625" style="5" customWidth="1"/>
    <col min="14" max="15" width="37" style="5" customWidth="1"/>
    <col min="16" max="16" width="34.6640625" style="5" customWidth="1"/>
    <col min="17" max="18" width="26.44140625" style="5" customWidth="1"/>
    <col min="19" max="19" width="13.6640625" style="5" bestFit="1" customWidth="1"/>
    <col min="20" max="16384" width="9" style="5"/>
  </cols>
  <sheetData>
    <row r="1" spans="1:19" s="2" customFormat="1" ht="27">
      <c r="A1" s="393" t="s">
        <v>510</v>
      </c>
      <c r="B1" s="393"/>
      <c r="C1" s="393"/>
      <c r="D1" s="393"/>
      <c r="E1" s="393"/>
      <c r="F1" s="393"/>
      <c r="G1" s="393"/>
      <c r="H1" s="393"/>
      <c r="I1" s="393"/>
      <c r="J1" s="393"/>
      <c r="K1" s="393"/>
      <c r="L1" s="393"/>
      <c r="M1" s="393"/>
      <c r="N1" s="393"/>
      <c r="O1" s="393"/>
      <c r="P1" s="393"/>
    </row>
    <row r="2" spans="1:19" s="2" customFormat="1" ht="24.75" customHeight="1">
      <c r="A2" s="396" t="s">
        <v>0</v>
      </c>
      <c r="B2" s="399" t="s">
        <v>1</v>
      </c>
      <c r="C2" s="401" t="s">
        <v>2</v>
      </c>
      <c r="D2" s="402"/>
      <c r="E2" s="403"/>
      <c r="F2" s="396" t="s">
        <v>4</v>
      </c>
      <c r="G2" s="396" t="s">
        <v>3</v>
      </c>
      <c r="H2" s="394" t="s">
        <v>6</v>
      </c>
      <c r="I2" s="394"/>
      <c r="J2" s="394"/>
      <c r="K2" s="394"/>
      <c r="L2" s="394"/>
      <c r="M2" s="396" t="s">
        <v>11</v>
      </c>
      <c r="N2" s="396" t="s">
        <v>500</v>
      </c>
      <c r="O2" s="2" t="s">
        <v>652</v>
      </c>
      <c r="P2" s="2" t="s">
        <v>537</v>
      </c>
      <c r="Q2" s="2" t="s">
        <v>544</v>
      </c>
      <c r="R2" s="2" t="s">
        <v>653</v>
      </c>
      <c r="S2" s="2" t="s">
        <v>545</v>
      </c>
    </row>
    <row r="3" spans="1:19" s="2" customFormat="1">
      <c r="A3" s="397"/>
      <c r="B3" s="400"/>
      <c r="C3" s="404"/>
      <c r="D3" s="405"/>
      <c r="E3" s="406"/>
      <c r="F3" s="397"/>
      <c r="G3" s="397"/>
      <c r="H3" s="3" t="s">
        <v>65</v>
      </c>
      <c r="I3" s="3" t="s">
        <v>66</v>
      </c>
      <c r="J3" s="3" t="s">
        <v>67</v>
      </c>
      <c r="K3" s="4" t="s">
        <v>68</v>
      </c>
      <c r="L3" s="3" t="s">
        <v>6</v>
      </c>
      <c r="M3" s="397"/>
      <c r="N3" s="397"/>
      <c r="O3" s="90"/>
      <c r="P3" s="90"/>
    </row>
    <row r="4" spans="1:19" ht="96">
      <c r="A4" s="144">
        <v>1</v>
      </c>
      <c r="B4" s="95" t="s">
        <v>578</v>
      </c>
      <c r="C4" s="150">
        <v>6241101</v>
      </c>
      <c r="D4" s="97" t="s">
        <v>553</v>
      </c>
      <c r="E4" s="101"/>
      <c r="F4" s="24" t="s">
        <v>522</v>
      </c>
      <c r="G4" s="18" t="s">
        <v>5</v>
      </c>
      <c r="H4" s="108">
        <f>L4/2</f>
        <v>45000</v>
      </c>
      <c r="I4" s="19">
        <v>45000</v>
      </c>
      <c r="J4" s="19"/>
      <c r="K4" s="20">
        <f t="shared" ref="K4:K42" si="0">H4+I4+J4-L4</f>
        <v>0</v>
      </c>
      <c r="L4" s="107">
        <v>90000</v>
      </c>
      <c r="M4" s="21" t="str">
        <f>IF(K4=0,"ปิดทุน",IF(K4&lt;0,"ยังไม่ปิดทุน","เกินทุน"))</f>
        <v>ปิดทุน</v>
      </c>
      <c r="N4" s="18"/>
      <c r="S4" s="5" t="s">
        <v>874</v>
      </c>
    </row>
    <row r="5" spans="1:19" ht="96">
      <c r="A5" s="82">
        <v>2</v>
      </c>
      <c r="B5" s="95" t="s">
        <v>579</v>
      </c>
      <c r="C5" s="150">
        <v>6241102</v>
      </c>
      <c r="D5" s="97" t="s">
        <v>554</v>
      </c>
      <c r="E5" s="101"/>
      <c r="F5" s="24" t="s">
        <v>522</v>
      </c>
      <c r="G5" s="24" t="s">
        <v>5</v>
      </c>
      <c r="H5" s="108">
        <f t="shared" ref="H5:H45" si="1">L5/2</f>
        <v>45000</v>
      </c>
      <c r="I5" s="25">
        <v>45000</v>
      </c>
      <c r="J5" s="25"/>
      <c r="K5" s="26">
        <f t="shared" si="0"/>
        <v>0</v>
      </c>
      <c r="L5" s="101">
        <v>90000</v>
      </c>
      <c r="M5" s="27" t="str">
        <f t="shared" ref="M5:M45" si="2">IF(K5=0,"ปิดทุน",IF(K5&lt;0,"ยังไม่ปิดทุน","เกินทุน"))</f>
        <v>ปิดทุน</v>
      </c>
      <c r="N5" s="24"/>
    </row>
    <row r="6" spans="1:19" ht="96">
      <c r="A6" s="144">
        <v>3</v>
      </c>
      <c r="B6" s="95" t="s">
        <v>580</v>
      </c>
      <c r="C6" s="150">
        <v>6241103</v>
      </c>
      <c r="D6" s="97" t="s">
        <v>617</v>
      </c>
      <c r="E6" s="101"/>
      <c r="F6" s="24" t="s">
        <v>522</v>
      </c>
      <c r="G6" s="24" t="s">
        <v>5</v>
      </c>
      <c r="H6" s="108">
        <f t="shared" si="1"/>
        <v>45000</v>
      </c>
      <c r="I6" s="25">
        <v>18000</v>
      </c>
      <c r="J6" s="25">
        <v>27000</v>
      </c>
      <c r="K6" s="26">
        <f t="shared" si="0"/>
        <v>0</v>
      </c>
      <c r="L6" s="101">
        <v>90000</v>
      </c>
      <c r="M6" s="27" t="str">
        <f t="shared" si="2"/>
        <v>ปิดทุน</v>
      </c>
      <c r="N6" s="28"/>
      <c r="O6" s="110"/>
      <c r="P6" s="5" t="s">
        <v>641</v>
      </c>
    </row>
    <row r="7" spans="1:19" ht="96">
      <c r="A7" s="82">
        <v>4</v>
      </c>
      <c r="B7" s="95" t="s">
        <v>581</v>
      </c>
      <c r="C7" s="150">
        <v>6241104</v>
      </c>
      <c r="D7" s="97" t="s">
        <v>628</v>
      </c>
      <c r="E7" s="101"/>
      <c r="F7" s="24" t="s">
        <v>522</v>
      </c>
      <c r="G7" s="24" t="s">
        <v>5</v>
      </c>
      <c r="H7" s="108">
        <f t="shared" si="1"/>
        <v>45000</v>
      </c>
      <c r="I7" s="25">
        <v>45000</v>
      </c>
      <c r="J7" s="25"/>
      <c r="K7" s="26">
        <f t="shared" si="0"/>
        <v>0</v>
      </c>
      <c r="L7" s="101">
        <v>90000</v>
      </c>
      <c r="M7" s="27" t="str">
        <f t="shared" si="2"/>
        <v>ปิดทุน</v>
      </c>
      <c r="N7" s="24"/>
      <c r="Q7" s="1" t="s">
        <v>763</v>
      </c>
      <c r="R7" s="5" t="s">
        <v>739</v>
      </c>
    </row>
    <row r="8" spans="1:19" ht="120">
      <c r="A8" s="144">
        <v>5</v>
      </c>
      <c r="B8" s="95" t="s">
        <v>582</v>
      </c>
      <c r="C8" s="150">
        <v>6241105</v>
      </c>
      <c r="D8" s="97" t="s">
        <v>555</v>
      </c>
      <c r="E8" s="101"/>
      <c r="F8" s="24" t="s">
        <v>522</v>
      </c>
      <c r="G8" s="24" t="s">
        <v>5</v>
      </c>
      <c r="H8" s="108">
        <f t="shared" si="1"/>
        <v>45000</v>
      </c>
      <c r="I8" s="25">
        <v>45000</v>
      </c>
      <c r="J8" s="25"/>
      <c r="K8" s="26">
        <f t="shared" si="0"/>
        <v>0</v>
      </c>
      <c r="L8" s="101">
        <v>90000</v>
      </c>
      <c r="M8" s="27" t="str">
        <f t="shared" si="2"/>
        <v>ปิดทุน</v>
      </c>
      <c r="N8" s="24"/>
      <c r="S8" s="1" t="s">
        <v>752</v>
      </c>
    </row>
    <row r="9" spans="1:19" ht="72">
      <c r="A9" s="82">
        <v>6</v>
      </c>
      <c r="B9" s="95" t="s">
        <v>583</v>
      </c>
      <c r="C9" s="150">
        <v>6241106</v>
      </c>
      <c r="D9" s="97" t="s">
        <v>618</v>
      </c>
      <c r="E9" s="101"/>
      <c r="F9" s="24" t="s">
        <v>522</v>
      </c>
      <c r="G9" s="24" t="s">
        <v>5</v>
      </c>
      <c r="H9" s="133">
        <f t="shared" si="1"/>
        <v>45000</v>
      </c>
      <c r="I9" s="25">
        <v>45000</v>
      </c>
      <c r="J9" s="25"/>
      <c r="K9" s="26">
        <f t="shared" si="0"/>
        <v>0</v>
      </c>
      <c r="L9" s="101">
        <v>90000</v>
      </c>
      <c r="M9" s="27" t="str">
        <f t="shared" si="2"/>
        <v>ปิดทุน</v>
      </c>
      <c r="N9" s="24"/>
      <c r="O9" s="5" t="s">
        <v>1033</v>
      </c>
      <c r="P9" s="5" t="s">
        <v>1030</v>
      </c>
      <c r="Q9" s="5" t="s">
        <v>1031</v>
      </c>
    </row>
    <row r="10" spans="1:19" ht="72">
      <c r="A10" s="144">
        <v>7</v>
      </c>
      <c r="B10" s="95" t="s">
        <v>584</v>
      </c>
      <c r="C10" s="150">
        <v>6242102</v>
      </c>
      <c r="D10" s="97" t="s">
        <v>556</v>
      </c>
      <c r="E10" s="102"/>
      <c r="F10" s="24" t="s">
        <v>522</v>
      </c>
      <c r="G10" s="24" t="s">
        <v>5</v>
      </c>
      <c r="H10" s="108">
        <f t="shared" si="1"/>
        <v>35000</v>
      </c>
      <c r="I10" s="25">
        <v>35000</v>
      </c>
      <c r="J10" s="25"/>
      <c r="K10" s="26">
        <f t="shared" si="0"/>
        <v>0</v>
      </c>
      <c r="L10" s="102">
        <v>70000</v>
      </c>
      <c r="M10" s="27" t="str">
        <f t="shared" si="2"/>
        <v>ปิดทุน</v>
      </c>
      <c r="N10" s="24"/>
      <c r="Q10" s="5" t="s">
        <v>759</v>
      </c>
    </row>
    <row r="11" spans="1:19" ht="48">
      <c r="A11" s="82">
        <v>8</v>
      </c>
      <c r="B11" s="105" t="s">
        <v>585</v>
      </c>
      <c r="C11" s="151">
        <v>6242103</v>
      </c>
      <c r="D11" s="106" t="s">
        <v>557</v>
      </c>
      <c r="E11" s="102"/>
      <c r="F11" s="24" t="s">
        <v>519</v>
      </c>
      <c r="G11" s="24" t="s">
        <v>5</v>
      </c>
      <c r="H11" s="108">
        <f t="shared" si="1"/>
        <v>45000</v>
      </c>
      <c r="I11" s="25">
        <v>45000</v>
      </c>
      <c r="J11" s="25"/>
      <c r="K11" s="26">
        <f t="shared" si="0"/>
        <v>0</v>
      </c>
      <c r="L11" s="102">
        <v>90000</v>
      </c>
      <c r="M11" s="27" t="str">
        <f t="shared" si="2"/>
        <v>ปิดทุน</v>
      </c>
      <c r="N11" s="24"/>
      <c r="S11" s="5" t="s">
        <v>629</v>
      </c>
    </row>
    <row r="12" spans="1:19" ht="44.4">
      <c r="A12" s="144">
        <v>9</v>
      </c>
      <c r="B12" s="95" t="s">
        <v>586</v>
      </c>
      <c r="C12" s="150">
        <v>6242104</v>
      </c>
      <c r="D12" s="139" t="s">
        <v>558</v>
      </c>
      <c r="E12" s="102"/>
      <c r="F12" s="24" t="s">
        <v>519</v>
      </c>
      <c r="G12" s="24" t="s">
        <v>5</v>
      </c>
      <c r="H12" s="133">
        <f t="shared" si="1"/>
        <v>35000</v>
      </c>
      <c r="I12" s="25">
        <v>35000</v>
      </c>
      <c r="J12" s="25"/>
      <c r="K12" s="26">
        <f t="shared" si="0"/>
        <v>0</v>
      </c>
      <c r="L12" s="102">
        <v>70000</v>
      </c>
      <c r="M12" s="27" t="str">
        <f t="shared" si="2"/>
        <v>ปิดทุน</v>
      </c>
      <c r="N12" s="24"/>
      <c r="Q12" s="134" t="s">
        <v>645</v>
      </c>
      <c r="R12" s="134"/>
    </row>
    <row r="13" spans="1:19" ht="72">
      <c r="A13" s="82">
        <v>10</v>
      </c>
      <c r="B13" s="95" t="s">
        <v>587</v>
      </c>
      <c r="C13" s="150">
        <v>6242105</v>
      </c>
      <c r="D13" s="97" t="s">
        <v>619</v>
      </c>
      <c r="E13" s="102"/>
      <c r="F13" s="24" t="s">
        <v>519</v>
      </c>
      <c r="G13" s="24" t="s">
        <v>5</v>
      </c>
      <c r="H13" s="108">
        <f t="shared" si="1"/>
        <v>35000</v>
      </c>
      <c r="I13" s="25">
        <v>35000</v>
      </c>
      <c r="J13" s="25"/>
      <c r="K13" s="26">
        <f t="shared" si="0"/>
        <v>0</v>
      </c>
      <c r="L13" s="102">
        <v>70000</v>
      </c>
      <c r="M13" s="27" t="str">
        <f t="shared" si="2"/>
        <v>ปิดทุน</v>
      </c>
      <c r="N13" s="24"/>
      <c r="Q13" s="5" t="s">
        <v>842</v>
      </c>
    </row>
    <row r="14" spans="1:19" ht="99">
      <c r="A14" s="144">
        <v>11</v>
      </c>
      <c r="B14" s="95" t="s">
        <v>588</v>
      </c>
      <c r="C14" s="150">
        <v>6242106</v>
      </c>
      <c r="D14" s="97" t="s">
        <v>559</v>
      </c>
      <c r="E14" s="103"/>
      <c r="F14" s="24" t="s">
        <v>519</v>
      </c>
      <c r="G14" s="24" t="s">
        <v>5</v>
      </c>
      <c r="H14" s="108">
        <f t="shared" si="1"/>
        <v>35000</v>
      </c>
      <c r="I14" s="25">
        <v>35000</v>
      </c>
      <c r="J14" s="25"/>
      <c r="K14" s="26">
        <f t="shared" si="0"/>
        <v>0</v>
      </c>
      <c r="L14" s="103">
        <v>70000</v>
      </c>
      <c r="M14" s="27" t="str">
        <f t="shared" si="2"/>
        <v>ปิดทุน</v>
      </c>
      <c r="O14" s="5" t="s">
        <v>743</v>
      </c>
      <c r="Q14" s="1" t="s">
        <v>738</v>
      </c>
      <c r="R14" s="5" t="s">
        <v>739</v>
      </c>
    </row>
    <row r="15" spans="1:19" ht="168">
      <c r="A15" s="82">
        <v>12</v>
      </c>
      <c r="B15" s="96" t="s">
        <v>589</v>
      </c>
      <c r="C15" s="150">
        <v>6242107</v>
      </c>
      <c r="D15" s="98" t="s">
        <v>560</v>
      </c>
      <c r="E15" s="102"/>
      <c r="F15" s="24" t="s">
        <v>519</v>
      </c>
      <c r="G15" s="24" t="s">
        <v>5</v>
      </c>
      <c r="H15" s="133">
        <f t="shared" si="1"/>
        <v>35000</v>
      </c>
      <c r="I15" s="25">
        <v>35000</v>
      </c>
      <c r="J15" s="25"/>
      <c r="K15" s="26">
        <f t="shared" si="0"/>
        <v>0</v>
      </c>
      <c r="L15" s="102">
        <v>70000</v>
      </c>
      <c r="M15" s="27" t="str">
        <f t="shared" si="2"/>
        <v>ปิดทุน</v>
      </c>
      <c r="N15" s="24"/>
      <c r="O15" s="5" t="s">
        <v>993</v>
      </c>
      <c r="Q15" s="6" t="s">
        <v>992</v>
      </c>
    </row>
    <row r="16" spans="1:19" s="199" customFormat="1" ht="96">
      <c r="A16" s="212">
        <v>13</v>
      </c>
      <c r="B16" s="208" t="s">
        <v>590</v>
      </c>
      <c r="C16" s="218">
        <v>6242108</v>
      </c>
      <c r="D16" s="219" t="s">
        <v>1159</v>
      </c>
      <c r="E16" s="220"/>
      <c r="F16" s="195" t="s">
        <v>519</v>
      </c>
      <c r="G16" s="195" t="s">
        <v>5</v>
      </c>
      <c r="H16" s="204">
        <f t="shared" si="1"/>
        <v>35000</v>
      </c>
      <c r="I16" s="196"/>
      <c r="J16" s="196"/>
      <c r="K16" s="197">
        <f t="shared" si="0"/>
        <v>-35000</v>
      </c>
      <c r="L16" s="220">
        <v>70000</v>
      </c>
      <c r="M16" s="198" t="str">
        <f t="shared" si="2"/>
        <v>ยังไม่ปิดทุน</v>
      </c>
      <c r="N16" s="195" t="s">
        <v>1149</v>
      </c>
    </row>
    <row r="17" spans="1:19" ht="96">
      <c r="A17" s="82">
        <v>14</v>
      </c>
      <c r="B17" s="96" t="s">
        <v>591</v>
      </c>
      <c r="C17" s="152">
        <v>6243101</v>
      </c>
      <c r="D17" s="98" t="s">
        <v>561</v>
      </c>
      <c r="E17" s="104"/>
      <c r="F17" s="24" t="s">
        <v>521</v>
      </c>
      <c r="G17" s="24" t="s">
        <v>5</v>
      </c>
      <c r="H17" s="108">
        <f t="shared" si="1"/>
        <v>45000</v>
      </c>
      <c r="I17" s="25">
        <v>45000</v>
      </c>
      <c r="J17" s="25"/>
      <c r="K17" s="26">
        <f t="shared" si="0"/>
        <v>0</v>
      </c>
      <c r="L17" s="104">
        <v>90000</v>
      </c>
      <c r="M17" s="27" t="str">
        <f t="shared" si="2"/>
        <v>ปิดทุน</v>
      </c>
      <c r="N17" s="24"/>
      <c r="O17" s="24"/>
      <c r="P17" s="23" t="s">
        <v>639</v>
      </c>
    </row>
    <row r="18" spans="1:19" ht="96">
      <c r="A18" s="144">
        <v>15</v>
      </c>
      <c r="B18" s="95" t="s">
        <v>592</v>
      </c>
      <c r="C18" s="150">
        <v>6243102</v>
      </c>
      <c r="D18" s="97" t="s">
        <v>620</v>
      </c>
      <c r="E18" s="104"/>
      <c r="F18" s="24" t="s">
        <v>521</v>
      </c>
      <c r="G18" s="24" t="s">
        <v>5</v>
      </c>
      <c r="H18" s="108">
        <f t="shared" si="1"/>
        <v>45000</v>
      </c>
      <c r="I18" s="25">
        <v>45000</v>
      </c>
      <c r="J18" s="25"/>
      <c r="K18" s="26">
        <f t="shared" si="0"/>
        <v>0</v>
      </c>
      <c r="L18" s="104">
        <v>90000</v>
      </c>
      <c r="M18" s="27" t="str">
        <f>IF(K18=0,"ปิดทุน",IF(K18&lt;0,"ยังไม่ปิดทุน","เกินทุน"))</f>
        <v>ปิดทุน</v>
      </c>
      <c r="N18" s="24"/>
      <c r="S18" s="1" t="s">
        <v>640</v>
      </c>
    </row>
    <row r="19" spans="1:19" ht="72">
      <c r="A19" s="82">
        <v>16</v>
      </c>
      <c r="B19" s="95" t="s">
        <v>593</v>
      </c>
      <c r="C19" s="150">
        <v>6243103</v>
      </c>
      <c r="D19" s="97" t="s">
        <v>621</v>
      </c>
      <c r="E19" s="104"/>
      <c r="F19" s="24" t="s">
        <v>521</v>
      </c>
      <c r="G19" s="24" t="s">
        <v>5</v>
      </c>
      <c r="H19" s="108">
        <f t="shared" si="1"/>
        <v>45000</v>
      </c>
      <c r="I19" s="25">
        <v>45000</v>
      </c>
      <c r="J19" s="25"/>
      <c r="K19" s="26">
        <f t="shared" si="0"/>
        <v>0</v>
      </c>
      <c r="L19" s="104">
        <v>90000</v>
      </c>
      <c r="M19" s="27" t="str">
        <f t="shared" si="2"/>
        <v>ปิดทุน</v>
      </c>
      <c r="N19" s="24"/>
    </row>
    <row r="20" spans="1:19" ht="96">
      <c r="A20" s="144">
        <v>17</v>
      </c>
      <c r="B20" s="95" t="s">
        <v>594</v>
      </c>
      <c r="C20" s="150">
        <v>6243104</v>
      </c>
      <c r="D20" s="97" t="s">
        <v>562</v>
      </c>
      <c r="E20" s="104"/>
      <c r="F20" s="24" t="s">
        <v>521</v>
      </c>
      <c r="G20" s="24" t="s">
        <v>5</v>
      </c>
      <c r="H20" s="108">
        <f t="shared" si="1"/>
        <v>45000</v>
      </c>
      <c r="I20" s="25">
        <v>45000</v>
      </c>
      <c r="J20" s="25"/>
      <c r="K20" s="26">
        <f t="shared" si="0"/>
        <v>0</v>
      </c>
      <c r="L20" s="104">
        <v>90000</v>
      </c>
      <c r="M20" s="27" t="str">
        <f t="shared" si="2"/>
        <v>ปิดทุน</v>
      </c>
      <c r="N20" s="24"/>
      <c r="Q20" s="6" t="s">
        <v>861</v>
      </c>
    </row>
    <row r="21" spans="1:19" ht="72">
      <c r="A21" s="82">
        <v>18</v>
      </c>
      <c r="B21" s="95" t="s">
        <v>595</v>
      </c>
      <c r="C21" s="150">
        <v>6243106</v>
      </c>
      <c r="D21" s="97" t="s">
        <v>622</v>
      </c>
      <c r="E21" s="104"/>
      <c r="F21" s="24" t="s">
        <v>521</v>
      </c>
      <c r="G21" s="24" t="s">
        <v>5</v>
      </c>
      <c r="H21" s="108">
        <f t="shared" si="1"/>
        <v>45000</v>
      </c>
      <c r="I21" s="25">
        <v>45000</v>
      </c>
      <c r="J21" s="25"/>
      <c r="K21" s="26">
        <f t="shared" si="0"/>
        <v>0</v>
      </c>
      <c r="L21" s="104">
        <v>90000</v>
      </c>
      <c r="M21" s="27" t="str">
        <f t="shared" si="2"/>
        <v>ปิดทุน</v>
      </c>
      <c r="N21" s="24"/>
    </row>
    <row r="22" spans="1:19" ht="120">
      <c r="A22" s="144">
        <v>19</v>
      </c>
      <c r="B22" s="95" t="s">
        <v>596</v>
      </c>
      <c r="C22" s="150">
        <v>6244102</v>
      </c>
      <c r="D22" s="106" t="s">
        <v>623</v>
      </c>
      <c r="E22" s="101"/>
      <c r="F22" s="24" t="s">
        <v>523</v>
      </c>
      <c r="G22" s="24" t="s">
        <v>5</v>
      </c>
      <c r="H22" s="108">
        <f t="shared" si="1"/>
        <v>45000</v>
      </c>
      <c r="I22" s="25">
        <v>45000</v>
      </c>
      <c r="J22" s="25"/>
      <c r="K22" s="26">
        <f t="shared" si="0"/>
        <v>0</v>
      </c>
      <c r="L22" s="101">
        <v>90000</v>
      </c>
      <c r="M22" s="27" t="str">
        <f t="shared" si="2"/>
        <v>ปิดทุน</v>
      </c>
      <c r="N22" s="24"/>
      <c r="Q22" s="5" t="s">
        <v>839</v>
      </c>
    </row>
    <row r="23" spans="1:19" ht="72">
      <c r="A23" s="82">
        <v>20</v>
      </c>
      <c r="B23" s="95" t="s">
        <v>597</v>
      </c>
      <c r="C23" s="150">
        <v>6244101</v>
      </c>
      <c r="D23" s="106" t="s">
        <v>624</v>
      </c>
      <c r="E23" s="101"/>
      <c r="F23" s="24" t="s">
        <v>523</v>
      </c>
      <c r="G23" s="24" t="s">
        <v>5</v>
      </c>
      <c r="H23" s="133">
        <f t="shared" si="1"/>
        <v>45000</v>
      </c>
      <c r="I23" s="25">
        <v>45000</v>
      </c>
      <c r="J23" s="25"/>
      <c r="K23" s="26">
        <f t="shared" si="0"/>
        <v>0</v>
      </c>
      <c r="L23" s="101">
        <v>90000</v>
      </c>
      <c r="M23" s="27" t="str">
        <f t="shared" si="2"/>
        <v>ปิดทุน</v>
      </c>
      <c r="N23" s="24"/>
      <c r="Q23" s="6" t="s">
        <v>646</v>
      </c>
      <c r="R23" s="6"/>
    </row>
    <row r="24" spans="1:19" ht="96">
      <c r="A24" s="144">
        <v>21</v>
      </c>
      <c r="B24" s="95" t="s">
        <v>598</v>
      </c>
      <c r="C24" s="150">
        <v>6244104</v>
      </c>
      <c r="D24" s="97" t="s">
        <v>563</v>
      </c>
      <c r="E24" s="101"/>
      <c r="F24" s="24" t="s">
        <v>523</v>
      </c>
      <c r="G24" s="24" t="s">
        <v>5</v>
      </c>
      <c r="H24" s="108">
        <f t="shared" si="1"/>
        <v>45000</v>
      </c>
      <c r="I24" s="25">
        <v>45000</v>
      </c>
      <c r="J24" s="25"/>
      <c r="K24" s="26">
        <f t="shared" si="0"/>
        <v>0</v>
      </c>
      <c r="L24" s="101">
        <v>90000</v>
      </c>
      <c r="M24" s="27" t="str">
        <f t="shared" si="2"/>
        <v>ปิดทุน</v>
      </c>
      <c r="N24" s="24"/>
      <c r="O24" s="115">
        <v>242239</v>
      </c>
    </row>
    <row r="25" spans="1:19" s="199" customFormat="1" ht="48">
      <c r="A25" s="191">
        <v>22</v>
      </c>
      <c r="B25" s="208" t="s">
        <v>599</v>
      </c>
      <c r="C25" s="218">
        <v>6244105</v>
      </c>
      <c r="D25" s="219" t="s">
        <v>564</v>
      </c>
      <c r="E25" s="221"/>
      <c r="F25" s="195" t="s">
        <v>523</v>
      </c>
      <c r="G25" s="195" t="s">
        <v>5</v>
      </c>
      <c r="H25" s="204">
        <f t="shared" si="1"/>
        <v>45000</v>
      </c>
      <c r="I25" s="196"/>
      <c r="J25" s="196"/>
      <c r="K25" s="197">
        <f t="shared" si="0"/>
        <v>-45000</v>
      </c>
      <c r="L25" s="221">
        <v>90000</v>
      </c>
      <c r="M25" s="198" t="str">
        <f t="shared" si="2"/>
        <v>ยังไม่ปิดทุน</v>
      </c>
      <c r="N25" s="195" t="s">
        <v>1163</v>
      </c>
      <c r="O25" s="199" t="s">
        <v>1277</v>
      </c>
    </row>
    <row r="26" spans="1:19" ht="96">
      <c r="A26" s="144">
        <v>23</v>
      </c>
      <c r="B26" s="95" t="s">
        <v>600</v>
      </c>
      <c r="C26" s="150">
        <v>6244106</v>
      </c>
      <c r="D26" s="97" t="s">
        <v>625</v>
      </c>
      <c r="E26" s="101"/>
      <c r="F26" s="24" t="s">
        <v>523</v>
      </c>
      <c r="G26" s="24" t="s">
        <v>5</v>
      </c>
      <c r="H26" s="108">
        <f t="shared" si="1"/>
        <v>45000</v>
      </c>
      <c r="I26" s="25">
        <v>45000</v>
      </c>
      <c r="J26" s="25"/>
      <c r="K26" s="26">
        <f t="shared" si="0"/>
        <v>0</v>
      </c>
      <c r="L26" s="101">
        <v>90000</v>
      </c>
      <c r="M26" s="27" t="str">
        <f t="shared" si="2"/>
        <v>ปิดทุน</v>
      </c>
      <c r="N26" s="24"/>
      <c r="O26" s="5" t="s">
        <v>744</v>
      </c>
      <c r="Q26" s="5" t="s">
        <v>740</v>
      </c>
    </row>
    <row r="27" spans="1:19" ht="120">
      <c r="A27" s="82">
        <v>24</v>
      </c>
      <c r="B27" s="95" t="s">
        <v>601</v>
      </c>
      <c r="C27" s="150">
        <v>6244103</v>
      </c>
      <c r="D27" s="97" t="s">
        <v>565</v>
      </c>
      <c r="E27" s="101"/>
      <c r="F27" s="24" t="s">
        <v>523</v>
      </c>
      <c r="G27" s="24" t="s">
        <v>5</v>
      </c>
      <c r="H27" s="108">
        <f t="shared" si="1"/>
        <v>45000</v>
      </c>
      <c r="I27" s="25">
        <v>45000</v>
      </c>
      <c r="J27" s="25"/>
      <c r="K27" s="26">
        <f t="shared" si="0"/>
        <v>0</v>
      </c>
      <c r="L27" s="101">
        <v>90000</v>
      </c>
      <c r="M27" s="27" t="str">
        <f t="shared" si="2"/>
        <v>ปิดทุน</v>
      </c>
      <c r="N27" s="24"/>
      <c r="Q27" s="6" t="s">
        <v>843</v>
      </c>
    </row>
    <row r="28" spans="1:19" ht="120">
      <c r="A28" s="144">
        <v>25</v>
      </c>
      <c r="B28" s="96" t="s">
        <v>602</v>
      </c>
      <c r="C28" s="152">
        <v>6245101</v>
      </c>
      <c r="D28" s="98" t="s">
        <v>566</v>
      </c>
      <c r="E28" s="104"/>
      <c r="F28" s="24" t="s">
        <v>524</v>
      </c>
      <c r="G28" s="24" t="s">
        <v>5</v>
      </c>
      <c r="H28" s="108">
        <f t="shared" si="1"/>
        <v>35000</v>
      </c>
      <c r="I28" s="25">
        <v>35000</v>
      </c>
      <c r="J28" s="25"/>
      <c r="K28" s="26">
        <f t="shared" si="0"/>
        <v>0</v>
      </c>
      <c r="L28" s="104">
        <v>70000</v>
      </c>
      <c r="M28" s="27" t="str">
        <f t="shared" si="2"/>
        <v>ปิดทุน</v>
      </c>
      <c r="N28" s="24"/>
      <c r="O28" s="115">
        <v>242393</v>
      </c>
      <c r="Q28" s="5" t="s">
        <v>758</v>
      </c>
    </row>
    <row r="29" spans="1:19" ht="96">
      <c r="A29" s="82">
        <v>26</v>
      </c>
      <c r="B29" s="95" t="s">
        <v>603</v>
      </c>
      <c r="C29" s="150">
        <v>6245103</v>
      </c>
      <c r="D29" s="97" t="s">
        <v>568</v>
      </c>
      <c r="E29" s="101"/>
      <c r="F29" s="24" t="s">
        <v>524</v>
      </c>
      <c r="G29" s="24" t="s">
        <v>5</v>
      </c>
      <c r="H29" s="108">
        <f t="shared" si="1"/>
        <v>35000</v>
      </c>
      <c r="I29" s="25">
        <v>35000</v>
      </c>
      <c r="J29" s="25"/>
      <c r="K29" s="26">
        <f t="shared" si="0"/>
        <v>0</v>
      </c>
      <c r="L29" s="101">
        <v>70000</v>
      </c>
      <c r="M29" s="27" t="str">
        <f t="shared" si="2"/>
        <v>ปิดทุน</v>
      </c>
      <c r="N29" s="24"/>
    </row>
    <row r="30" spans="1:19" ht="120">
      <c r="A30" s="144">
        <v>27</v>
      </c>
      <c r="B30" s="95" t="s">
        <v>604</v>
      </c>
      <c r="C30" s="150">
        <v>6245104</v>
      </c>
      <c r="D30" s="97" t="s">
        <v>569</v>
      </c>
      <c r="E30" s="101"/>
      <c r="F30" s="24" t="s">
        <v>524</v>
      </c>
      <c r="G30" s="24" t="s">
        <v>5</v>
      </c>
      <c r="H30" s="133">
        <f t="shared" si="1"/>
        <v>35000</v>
      </c>
      <c r="I30" s="25">
        <v>35000</v>
      </c>
      <c r="J30" s="25"/>
      <c r="K30" s="26">
        <f t="shared" si="0"/>
        <v>0</v>
      </c>
      <c r="L30" s="101">
        <v>70000</v>
      </c>
      <c r="M30" s="27" t="str">
        <f t="shared" si="2"/>
        <v>ปิดทุน</v>
      </c>
      <c r="N30" s="23" t="s">
        <v>1180</v>
      </c>
      <c r="O30" s="5" t="s">
        <v>1184</v>
      </c>
    </row>
    <row r="31" spans="1:19" ht="96">
      <c r="A31" s="82">
        <v>28</v>
      </c>
      <c r="B31" s="95" t="s">
        <v>605</v>
      </c>
      <c r="C31" s="150">
        <v>6245105</v>
      </c>
      <c r="D31" s="97" t="s">
        <v>570</v>
      </c>
      <c r="E31" s="101"/>
      <c r="F31" s="24" t="s">
        <v>524</v>
      </c>
      <c r="G31" s="24" t="s">
        <v>5</v>
      </c>
      <c r="H31" s="108">
        <f t="shared" si="1"/>
        <v>35000</v>
      </c>
      <c r="I31" s="25">
        <v>35000</v>
      </c>
      <c r="J31" s="25"/>
      <c r="K31" s="26">
        <f t="shared" si="0"/>
        <v>0</v>
      </c>
      <c r="L31" s="101">
        <v>70000</v>
      </c>
      <c r="M31" s="27" t="str">
        <f t="shared" si="2"/>
        <v>ปิดทุน</v>
      </c>
      <c r="N31" s="24"/>
      <c r="Q31" s="6" t="s">
        <v>648</v>
      </c>
      <c r="R31" s="6"/>
    </row>
    <row r="32" spans="1:19" ht="86.25" customHeight="1">
      <c r="A32" s="144">
        <v>29</v>
      </c>
      <c r="B32" s="95" t="s">
        <v>606</v>
      </c>
      <c r="C32" s="150">
        <v>6245106</v>
      </c>
      <c r="D32" s="97" t="s">
        <v>571</v>
      </c>
      <c r="E32" s="101"/>
      <c r="F32" s="24" t="s">
        <v>524</v>
      </c>
      <c r="G32" s="24" t="s">
        <v>5</v>
      </c>
      <c r="H32" s="108">
        <f t="shared" si="1"/>
        <v>35000</v>
      </c>
      <c r="I32" s="25">
        <v>35000</v>
      </c>
      <c r="J32" s="25"/>
      <c r="K32" s="26">
        <f t="shared" si="0"/>
        <v>0</v>
      </c>
      <c r="L32" s="101">
        <v>70000</v>
      </c>
      <c r="M32" s="27" t="str">
        <f t="shared" si="2"/>
        <v>ปิดทุน</v>
      </c>
      <c r="N32" s="24"/>
      <c r="Q32" s="5" t="s">
        <v>649</v>
      </c>
    </row>
    <row r="33" spans="1:18" ht="96">
      <c r="A33" s="82">
        <v>30</v>
      </c>
      <c r="B33" s="95" t="s">
        <v>607</v>
      </c>
      <c r="C33" s="150">
        <v>6245107</v>
      </c>
      <c r="D33" s="97" t="s">
        <v>572</v>
      </c>
      <c r="E33" s="101"/>
      <c r="F33" s="24" t="s">
        <v>524</v>
      </c>
      <c r="G33" s="24" t="s">
        <v>5</v>
      </c>
      <c r="H33" s="108">
        <f t="shared" si="1"/>
        <v>35000</v>
      </c>
      <c r="I33" s="25">
        <v>35000</v>
      </c>
      <c r="J33" s="25"/>
      <c r="K33" s="26">
        <f t="shared" si="0"/>
        <v>0</v>
      </c>
      <c r="L33" s="101">
        <v>70000</v>
      </c>
      <c r="M33" s="27" t="str">
        <f t="shared" si="2"/>
        <v>ปิดทุน</v>
      </c>
      <c r="N33" s="24"/>
      <c r="O33" s="5" t="s">
        <v>836</v>
      </c>
      <c r="Q33" s="1" t="s">
        <v>834</v>
      </c>
    </row>
    <row r="34" spans="1:18" ht="120">
      <c r="A34" s="144">
        <v>31</v>
      </c>
      <c r="B34" s="95" t="s">
        <v>608</v>
      </c>
      <c r="C34" s="150">
        <v>6245108</v>
      </c>
      <c r="D34" s="97" t="s">
        <v>573</v>
      </c>
      <c r="E34" s="101"/>
      <c r="F34" s="24" t="s">
        <v>524</v>
      </c>
      <c r="G34" s="24" t="s">
        <v>5</v>
      </c>
      <c r="H34" s="108">
        <f t="shared" si="1"/>
        <v>35000</v>
      </c>
      <c r="I34" s="25">
        <v>35000</v>
      </c>
      <c r="J34" s="25"/>
      <c r="K34" s="26">
        <f t="shared" si="0"/>
        <v>0</v>
      </c>
      <c r="L34" s="101">
        <v>70000</v>
      </c>
      <c r="M34" s="27" t="str">
        <f t="shared" si="2"/>
        <v>ปิดทุน</v>
      </c>
      <c r="N34" s="24"/>
      <c r="Q34" s="6" t="s">
        <v>642</v>
      </c>
      <c r="R34" s="6"/>
    </row>
    <row r="35" spans="1:18" ht="144">
      <c r="A35" s="82">
        <v>32</v>
      </c>
      <c r="B35" s="95" t="s">
        <v>609</v>
      </c>
      <c r="C35" s="150">
        <v>6245109</v>
      </c>
      <c r="D35" s="97" t="s">
        <v>574</v>
      </c>
      <c r="E35" s="101"/>
      <c r="F35" s="24" t="s">
        <v>524</v>
      </c>
      <c r="G35" s="24" t="s">
        <v>5</v>
      </c>
      <c r="H35" s="108">
        <f t="shared" si="1"/>
        <v>35000</v>
      </c>
      <c r="I35" s="25">
        <v>14000</v>
      </c>
      <c r="J35" s="25">
        <v>21000</v>
      </c>
      <c r="K35" s="26">
        <f t="shared" si="0"/>
        <v>0</v>
      </c>
      <c r="L35" s="101">
        <v>70000</v>
      </c>
      <c r="M35" s="27" t="str">
        <f t="shared" si="2"/>
        <v>ปิดทุน</v>
      </c>
      <c r="N35" s="24"/>
      <c r="Q35" s="6" t="s">
        <v>647</v>
      </c>
      <c r="R35" s="6"/>
    </row>
    <row r="36" spans="1:18" ht="72">
      <c r="A36" s="144">
        <v>33</v>
      </c>
      <c r="B36" s="95" t="s">
        <v>610</v>
      </c>
      <c r="C36" s="150">
        <v>6245110</v>
      </c>
      <c r="D36" s="97" t="s">
        <v>1115</v>
      </c>
      <c r="E36" s="101"/>
      <c r="F36" s="24" t="s">
        <v>524</v>
      </c>
      <c r="G36" s="24" t="s">
        <v>5</v>
      </c>
      <c r="H36" s="133">
        <f t="shared" si="1"/>
        <v>35000</v>
      </c>
      <c r="I36" s="25">
        <v>35000</v>
      </c>
      <c r="J36" s="25"/>
      <c r="K36" s="26">
        <f t="shared" si="0"/>
        <v>0</v>
      </c>
      <c r="L36" s="101">
        <v>70000</v>
      </c>
      <c r="M36" s="27" t="str">
        <f t="shared" si="2"/>
        <v>ปิดทุน</v>
      </c>
      <c r="N36" s="24"/>
      <c r="Q36" s="5" t="s">
        <v>1114</v>
      </c>
    </row>
    <row r="37" spans="1:18" ht="72">
      <c r="A37" s="82">
        <v>34</v>
      </c>
      <c r="B37" s="96" t="s">
        <v>611</v>
      </c>
      <c r="C37" s="152">
        <v>6246101</v>
      </c>
      <c r="D37" s="98" t="s">
        <v>575</v>
      </c>
      <c r="E37" s="101"/>
      <c r="F37" s="24" t="s">
        <v>525</v>
      </c>
      <c r="G37" s="24" t="s">
        <v>5</v>
      </c>
      <c r="H37" s="108">
        <f t="shared" si="1"/>
        <v>35000</v>
      </c>
      <c r="I37" s="25">
        <v>35000</v>
      </c>
      <c r="J37" s="25"/>
      <c r="K37" s="26">
        <f t="shared" si="0"/>
        <v>0</v>
      </c>
      <c r="L37" s="101">
        <v>70000</v>
      </c>
      <c r="M37" s="27" t="str">
        <f t="shared" si="2"/>
        <v>ปิดทุน</v>
      </c>
      <c r="N37" s="24"/>
      <c r="Q37" s="5" t="s">
        <v>753</v>
      </c>
    </row>
    <row r="38" spans="1:18" ht="96">
      <c r="A38" s="144">
        <v>35</v>
      </c>
      <c r="B38" s="95" t="s">
        <v>612</v>
      </c>
      <c r="C38" s="150">
        <v>6247101</v>
      </c>
      <c r="D38" s="97" t="s">
        <v>576</v>
      </c>
      <c r="E38" s="101"/>
      <c r="F38" s="24" t="s">
        <v>526</v>
      </c>
      <c r="G38" s="24" t="s">
        <v>5</v>
      </c>
      <c r="H38" s="108">
        <f t="shared" si="1"/>
        <v>45000</v>
      </c>
      <c r="I38" s="25">
        <v>45000</v>
      </c>
      <c r="J38" s="25"/>
      <c r="K38" s="26">
        <f t="shared" si="0"/>
        <v>0</v>
      </c>
      <c r="L38" s="101">
        <v>90000</v>
      </c>
      <c r="M38" s="27" t="str">
        <f t="shared" si="2"/>
        <v>ปิดทุน</v>
      </c>
      <c r="N38" s="24"/>
    </row>
    <row r="39" spans="1:18" ht="72">
      <c r="A39" s="82">
        <v>36</v>
      </c>
      <c r="B39" s="95" t="s">
        <v>613</v>
      </c>
      <c r="C39" s="150">
        <v>6247102</v>
      </c>
      <c r="D39" s="97" t="s">
        <v>577</v>
      </c>
      <c r="E39" s="101"/>
      <c r="F39" s="24" t="s">
        <v>526</v>
      </c>
      <c r="G39" s="24" t="s">
        <v>5</v>
      </c>
      <c r="H39" s="108">
        <f t="shared" si="1"/>
        <v>45000</v>
      </c>
      <c r="I39" s="25">
        <f>L39*20/100</f>
        <v>18000</v>
      </c>
      <c r="J39" s="25">
        <v>27000</v>
      </c>
      <c r="K39" s="26">
        <f t="shared" si="0"/>
        <v>0</v>
      </c>
      <c r="L39" s="101">
        <v>90000</v>
      </c>
      <c r="M39" s="27" t="str">
        <f t="shared" si="2"/>
        <v>ปิดทุน</v>
      </c>
      <c r="N39" s="24"/>
      <c r="P39" s="1" t="s">
        <v>641</v>
      </c>
    </row>
    <row r="40" spans="1:18" ht="48">
      <c r="A40" s="144">
        <v>37</v>
      </c>
      <c r="B40" s="105" t="s">
        <v>614</v>
      </c>
      <c r="C40" s="151">
        <v>6247103</v>
      </c>
      <c r="D40" s="106" t="s">
        <v>626</v>
      </c>
      <c r="E40" s="103"/>
      <c r="F40" s="24" t="s">
        <v>526</v>
      </c>
      <c r="G40" s="24" t="s">
        <v>5</v>
      </c>
      <c r="H40" s="108">
        <f t="shared" si="1"/>
        <v>45000</v>
      </c>
      <c r="I40" s="25">
        <v>45000</v>
      </c>
      <c r="J40" s="25"/>
      <c r="K40" s="26">
        <f t="shared" si="0"/>
        <v>0</v>
      </c>
      <c r="L40" s="103">
        <v>90000</v>
      </c>
      <c r="M40" s="27" t="str">
        <f t="shared" si="2"/>
        <v>ปิดทุน</v>
      </c>
      <c r="P40" s="5" t="s">
        <v>644</v>
      </c>
      <c r="Q40" s="24"/>
    </row>
    <row r="41" spans="1:18" ht="144">
      <c r="A41" s="82">
        <v>38</v>
      </c>
      <c r="B41" s="95" t="s">
        <v>615</v>
      </c>
      <c r="C41" s="150">
        <v>6240101</v>
      </c>
      <c r="D41" s="97" t="s">
        <v>627</v>
      </c>
      <c r="E41" s="101"/>
      <c r="F41" s="24" t="s">
        <v>520</v>
      </c>
      <c r="G41" s="24" t="s">
        <v>5</v>
      </c>
      <c r="H41" s="108">
        <f t="shared" si="1"/>
        <v>32500</v>
      </c>
      <c r="I41" s="25">
        <v>32500</v>
      </c>
      <c r="J41" s="25"/>
      <c r="K41" s="26">
        <f t="shared" si="0"/>
        <v>0</v>
      </c>
      <c r="L41" s="101">
        <v>65000</v>
      </c>
      <c r="M41" s="27" t="str">
        <f t="shared" si="2"/>
        <v>ปิดทุน</v>
      </c>
      <c r="N41" s="24"/>
      <c r="Q41" s="5" t="s">
        <v>654</v>
      </c>
    </row>
    <row r="42" spans="1:18" s="183" customFormat="1" ht="96">
      <c r="A42" s="184">
        <v>39</v>
      </c>
      <c r="B42" s="105" t="s">
        <v>616</v>
      </c>
      <c r="C42" s="185">
        <v>6245102</v>
      </c>
      <c r="D42" s="105" t="s">
        <v>567</v>
      </c>
      <c r="E42" s="186"/>
      <c r="F42" s="179" t="s">
        <v>524</v>
      </c>
      <c r="G42" s="179" t="s">
        <v>5</v>
      </c>
      <c r="H42" s="187">
        <f t="shared" si="1"/>
        <v>35000</v>
      </c>
      <c r="I42" s="180">
        <v>35000</v>
      </c>
      <c r="J42" s="180"/>
      <c r="K42" s="181">
        <f t="shared" si="0"/>
        <v>0</v>
      </c>
      <c r="L42" s="186">
        <v>70000</v>
      </c>
      <c r="M42" s="182" t="str">
        <f t="shared" si="2"/>
        <v>ปิดทุน</v>
      </c>
      <c r="N42" s="179"/>
      <c r="O42" s="183" t="s">
        <v>838</v>
      </c>
    </row>
    <row r="43" spans="1:18">
      <c r="A43" s="82"/>
      <c r="B43" s="95"/>
      <c r="C43" s="37"/>
      <c r="D43" s="97"/>
      <c r="E43" s="36"/>
      <c r="F43" s="24"/>
      <c r="G43" s="24"/>
      <c r="H43" s="108">
        <f t="shared" si="1"/>
        <v>0</v>
      </c>
      <c r="I43" s="25"/>
      <c r="J43" s="25"/>
      <c r="K43" s="26">
        <f>H43+I43+J43-L43</f>
        <v>0</v>
      </c>
      <c r="L43" s="25"/>
      <c r="M43" s="27" t="str">
        <f t="shared" si="2"/>
        <v>ปิดทุน</v>
      </c>
      <c r="Q43" s="24"/>
    </row>
    <row r="44" spans="1:18">
      <c r="A44" s="82"/>
      <c r="B44" s="95"/>
      <c r="C44" s="37"/>
      <c r="D44" s="97"/>
      <c r="E44" s="36"/>
      <c r="F44" s="24"/>
      <c r="G44" s="24"/>
      <c r="H44" s="108">
        <f t="shared" si="1"/>
        <v>0</v>
      </c>
      <c r="I44" s="25"/>
      <c r="J44" s="25"/>
      <c r="K44" s="26">
        <f>H44+I44+J44-L44</f>
        <v>0</v>
      </c>
      <c r="L44" s="25"/>
      <c r="M44" s="27" t="str">
        <f t="shared" si="2"/>
        <v>ปิดทุน</v>
      </c>
      <c r="N44" s="24"/>
    </row>
    <row r="45" spans="1:18">
      <c r="A45" s="82"/>
      <c r="B45" s="95"/>
      <c r="C45" s="37"/>
      <c r="D45" s="97"/>
      <c r="E45" s="36"/>
      <c r="F45" s="24"/>
      <c r="G45" s="24"/>
      <c r="H45" s="108">
        <f t="shared" si="1"/>
        <v>0</v>
      </c>
      <c r="I45" s="25"/>
      <c r="J45" s="25"/>
      <c r="K45" s="26">
        <f>H45+I45+J45-L45</f>
        <v>0</v>
      </c>
      <c r="L45" s="25"/>
      <c r="M45" s="27" t="str">
        <f t="shared" si="2"/>
        <v>ปิดทุน</v>
      </c>
      <c r="N45" s="24"/>
    </row>
    <row r="46" spans="1:18">
      <c r="B46" s="99"/>
      <c r="D46" s="100"/>
      <c r="M46" s="30"/>
    </row>
    <row r="47" spans="1:18">
      <c r="B47" s="5"/>
      <c r="H47" s="5"/>
      <c r="I47" s="5"/>
      <c r="J47" s="5"/>
      <c r="K47" s="5"/>
      <c r="L47" s="8">
        <f>SUM(L4:L45)</f>
        <v>3145000</v>
      </c>
      <c r="N47" s="109">
        <f>SUM(L22:L27)</f>
        <v>540000</v>
      </c>
      <c r="O47" s="109"/>
    </row>
    <row r="48" spans="1:18">
      <c r="B48" s="5"/>
      <c r="H48" s="5"/>
      <c r="I48" s="5"/>
      <c r="J48" s="5"/>
      <c r="K48" s="5"/>
      <c r="L48" s="5"/>
    </row>
    <row r="49" spans="2:12">
      <c r="B49" s="5"/>
      <c r="K49" s="5"/>
      <c r="L49" s="5"/>
    </row>
    <row r="50" spans="2:12">
      <c r="B50" s="5"/>
      <c r="K50" s="5"/>
      <c r="L50" s="5"/>
    </row>
    <row r="51" spans="2:12">
      <c r="B51" s="5"/>
      <c r="K51" s="5"/>
      <c r="L51" s="5"/>
    </row>
    <row r="52" spans="2:12">
      <c r="B52" s="5"/>
      <c r="K52" s="5"/>
      <c r="L52" s="5"/>
    </row>
    <row r="53" spans="2:12">
      <c r="B53" s="5"/>
      <c r="K53" s="5"/>
      <c r="L53" s="5"/>
    </row>
    <row r="54" spans="2:12">
      <c r="B54" s="5"/>
      <c r="K54" s="5"/>
      <c r="L54" s="5"/>
    </row>
    <row r="55" spans="2:12">
      <c r="B55" s="5"/>
      <c r="K55" s="5"/>
      <c r="L55" s="5"/>
    </row>
    <row r="56" spans="2:12">
      <c r="B56" s="5"/>
      <c r="H56" s="5"/>
      <c r="I56" s="5"/>
      <c r="J56" s="5"/>
      <c r="K56" s="5"/>
      <c r="L56" s="5"/>
    </row>
    <row r="57" spans="2:12">
      <c r="B57" s="5"/>
      <c r="H57" s="5"/>
      <c r="I57" s="5"/>
      <c r="J57" s="5"/>
      <c r="K57" s="5"/>
      <c r="L57" s="5"/>
    </row>
    <row r="58" spans="2:12">
      <c r="B58" s="5"/>
      <c r="H58" s="5"/>
      <c r="I58" s="5"/>
      <c r="J58" s="5"/>
      <c r="K58" s="5"/>
      <c r="L58" s="5"/>
    </row>
    <row r="59" spans="2:12">
      <c r="B59" s="5"/>
      <c r="H59" s="5"/>
      <c r="I59" s="5"/>
      <c r="J59" s="5"/>
      <c r="K59" s="5"/>
      <c r="L59" s="5"/>
    </row>
    <row r="60" spans="2:12">
      <c r="B60" s="5"/>
      <c r="H60" s="5"/>
      <c r="I60" s="5"/>
      <c r="J60" s="5"/>
      <c r="K60" s="5"/>
      <c r="L60" s="5"/>
    </row>
    <row r="61" spans="2:12">
      <c r="B61" s="5"/>
      <c r="H61" s="5"/>
      <c r="I61" s="5"/>
      <c r="J61" s="5"/>
      <c r="K61" s="5"/>
      <c r="L61" s="5"/>
    </row>
    <row r="62" spans="2:12">
      <c r="B62" s="5"/>
      <c r="H62" s="5"/>
      <c r="I62" s="5"/>
      <c r="J62" s="5"/>
      <c r="K62" s="5"/>
      <c r="L62" s="5"/>
    </row>
    <row r="63" spans="2:12">
      <c r="B63" s="5"/>
      <c r="H63" s="5"/>
      <c r="I63" s="5"/>
      <c r="J63" s="5"/>
      <c r="K63" s="5"/>
      <c r="L63" s="5"/>
    </row>
    <row r="64" spans="2:12">
      <c r="B64" s="5"/>
      <c r="H64" s="5"/>
      <c r="I64" s="5"/>
      <c r="J64" s="5"/>
      <c r="K64" s="5"/>
      <c r="L64" s="5"/>
    </row>
    <row r="65" spans="2:12">
      <c r="B65" s="5"/>
      <c r="H65" s="5"/>
      <c r="I65" s="5"/>
      <c r="J65" s="5"/>
      <c r="K65" s="5"/>
      <c r="L65" s="5"/>
    </row>
    <row r="66" spans="2:12">
      <c r="B66" s="5"/>
      <c r="H66" s="5"/>
      <c r="I66" s="5"/>
      <c r="J66" s="5"/>
      <c r="K66" s="5"/>
      <c r="L66" s="5"/>
    </row>
    <row r="67" spans="2:12">
      <c r="B67" s="5"/>
      <c r="H67" s="5"/>
      <c r="I67" s="5"/>
      <c r="J67" s="5"/>
      <c r="K67" s="5"/>
      <c r="L67" s="5"/>
    </row>
  </sheetData>
  <mergeCells count="9">
    <mergeCell ref="A1:P1"/>
    <mergeCell ref="A2:A3"/>
    <mergeCell ref="B2:B3"/>
    <mergeCell ref="C2:E3"/>
    <mergeCell ref="F2:F3"/>
    <mergeCell ref="G2:G3"/>
    <mergeCell ref="H2:L2"/>
    <mergeCell ref="M2:M3"/>
    <mergeCell ref="N2:N3"/>
  </mergeCells>
  <pageMargins left="0.7" right="0.7" top="0.75" bottom="0.75" header="0.3" footer="0.3"/>
  <pageSetup paperSize="9" scale="24"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6699"/>
    <pageSetUpPr fitToPage="1"/>
  </sheetPr>
  <dimension ref="A1:R73"/>
  <sheetViews>
    <sheetView zoomScale="70" zoomScaleNormal="70" workbookViewId="0">
      <pane xSplit="1" ySplit="3" topLeftCell="L4" activePane="bottomRight" state="frozen"/>
      <selection pane="topRight" activeCell="B1" sqref="B1"/>
      <selection pane="bottomLeft" activeCell="A4" sqref="A4"/>
      <selection pane="bottomRight" activeCell="N9" sqref="M9:N10"/>
    </sheetView>
  </sheetViews>
  <sheetFormatPr defaultColWidth="9" defaultRowHeight="24"/>
  <cols>
    <col min="1" max="1" width="71.33203125" style="7" bestFit="1" customWidth="1"/>
    <col min="2" max="2" width="10" style="5" bestFit="1" customWidth="1"/>
    <col min="3" max="3" width="56" style="6" bestFit="1" customWidth="1"/>
    <col min="4" max="4" width="40.44140625" style="5" bestFit="1" customWidth="1"/>
    <col min="5" max="5" width="29.88671875" style="5" customWidth="1"/>
    <col min="6" max="6" width="13.44140625" style="5" bestFit="1" customWidth="1"/>
    <col min="7" max="7" width="12.5546875" style="5" bestFit="1" customWidth="1"/>
    <col min="8" max="8" width="12" style="5" bestFit="1" customWidth="1"/>
    <col min="9" max="9" width="13.44140625" style="8" customWidth="1"/>
    <col min="10" max="10" width="14" style="8" customWidth="1"/>
    <col min="11" max="11" width="15.21875" style="8" bestFit="1" customWidth="1"/>
    <col min="12" max="12" width="19" style="9" bestFit="1" customWidth="1"/>
    <col min="13" max="13" width="38.33203125" style="8" bestFit="1" customWidth="1"/>
    <col min="14" max="14" width="30.6640625" style="5" customWidth="1"/>
    <col min="15" max="16" width="37" style="5" customWidth="1"/>
    <col min="17" max="17" width="34.6640625" style="5" customWidth="1"/>
    <col min="18" max="19" width="26.44140625" style="5" customWidth="1"/>
    <col min="20" max="20" width="13.6640625" style="5" bestFit="1" customWidth="1"/>
    <col min="21" max="16384" width="9" style="5"/>
  </cols>
  <sheetData>
    <row r="1" spans="1:18" s="2" customFormat="1">
      <c r="A1" s="502" t="s">
        <v>510</v>
      </c>
      <c r="B1" s="503"/>
      <c r="C1" s="503"/>
      <c r="D1" s="503"/>
      <c r="E1" s="503"/>
      <c r="F1" s="503"/>
      <c r="G1" s="503"/>
      <c r="H1" s="503"/>
      <c r="I1" s="503"/>
      <c r="J1" s="503"/>
      <c r="K1" s="503"/>
      <c r="L1" s="503"/>
      <c r="M1" s="503"/>
      <c r="N1" s="503"/>
      <c r="O1" s="503"/>
      <c r="P1" s="503"/>
      <c r="Q1" s="503"/>
    </row>
    <row r="2" spans="1:18" s="2" customFormat="1" ht="24.75" customHeight="1">
      <c r="A2" s="396" t="s">
        <v>0</v>
      </c>
      <c r="B2" s="117"/>
      <c r="C2" s="399" t="s">
        <v>1</v>
      </c>
      <c r="D2" s="111" t="s">
        <v>2</v>
      </c>
      <c r="E2" s="396" t="s">
        <v>4</v>
      </c>
      <c r="F2" s="396" t="s">
        <v>3</v>
      </c>
      <c r="G2" s="394" t="s">
        <v>6</v>
      </c>
      <c r="H2" s="394"/>
      <c r="I2" s="394"/>
      <c r="J2" s="394"/>
      <c r="K2" s="394"/>
      <c r="L2" s="396" t="s">
        <v>11</v>
      </c>
      <c r="M2" s="396" t="s">
        <v>500</v>
      </c>
      <c r="N2" s="2" t="s">
        <v>652</v>
      </c>
      <c r="O2" s="2" t="s">
        <v>537</v>
      </c>
      <c r="P2" s="2" t="s">
        <v>544</v>
      </c>
      <c r="Q2" s="2" t="s">
        <v>653</v>
      </c>
      <c r="R2" s="2" t="s">
        <v>545</v>
      </c>
    </row>
    <row r="3" spans="1:18" s="2" customFormat="1">
      <c r="A3" s="397"/>
      <c r="B3" s="118"/>
      <c r="C3" s="400"/>
      <c r="D3" s="112"/>
      <c r="E3" s="397"/>
      <c r="F3" s="397"/>
      <c r="G3" s="3" t="s">
        <v>65</v>
      </c>
      <c r="H3" s="3" t="s">
        <v>66</v>
      </c>
      <c r="I3" s="3" t="s">
        <v>67</v>
      </c>
      <c r="J3" s="4" t="s">
        <v>68</v>
      </c>
      <c r="K3" s="3" t="s">
        <v>6</v>
      </c>
      <c r="L3" s="397"/>
      <c r="M3" s="397"/>
      <c r="N3" s="90"/>
      <c r="O3" s="90"/>
    </row>
    <row r="4" spans="1:18" ht="48">
      <c r="A4" s="144">
        <v>1</v>
      </c>
      <c r="B4" s="119">
        <v>6342101</v>
      </c>
      <c r="C4" s="95" t="s">
        <v>655</v>
      </c>
      <c r="D4" s="31" t="s">
        <v>656</v>
      </c>
      <c r="E4" s="113" t="s">
        <v>519</v>
      </c>
      <c r="F4" s="18" t="s">
        <v>5</v>
      </c>
      <c r="G4" s="108">
        <v>47500</v>
      </c>
      <c r="H4" s="19">
        <v>47500</v>
      </c>
      <c r="I4" s="19"/>
      <c r="J4" s="20">
        <f>G4+H4+I4-K4</f>
        <v>0</v>
      </c>
      <c r="K4" s="114">
        <v>95000</v>
      </c>
      <c r="L4" s="27" t="str">
        <f t="shared" ref="L4:L37" si="0">IF(J4=0,"ปิดทุน",IF(J4&lt;0,"ยังไม่ปิดทุน","เกินทุน"))</f>
        <v>ปิดทุน</v>
      </c>
      <c r="M4" s="18"/>
      <c r="N4" s="5" t="s">
        <v>760</v>
      </c>
      <c r="P4" s="5" t="s">
        <v>761</v>
      </c>
      <c r="Q4" s="5" t="s">
        <v>762</v>
      </c>
    </row>
    <row r="5" spans="1:18" ht="96">
      <c r="A5" s="82">
        <v>2</v>
      </c>
      <c r="B5" s="120">
        <v>6342102</v>
      </c>
      <c r="C5" s="95" t="s">
        <v>657</v>
      </c>
      <c r="D5" s="34" t="s">
        <v>658</v>
      </c>
      <c r="E5" s="113" t="s">
        <v>519</v>
      </c>
      <c r="F5" s="24" t="s">
        <v>5</v>
      </c>
      <c r="G5" s="108">
        <v>47500</v>
      </c>
      <c r="H5" s="25">
        <v>47500</v>
      </c>
      <c r="I5" s="25"/>
      <c r="J5" s="26">
        <f t="shared" ref="J5:J37" si="1">G5+H5+I5-K5</f>
        <v>0</v>
      </c>
      <c r="K5" s="114">
        <v>95000</v>
      </c>
      <c r="L5" s="27" t="str">
        <f t="shared" si="0"/>
        <v>ปิดทุน</v>
      </c>
      <c r="M5" s="24"/>
      <c r="N5" s="5" t="s">
        <v>742</v>
      </c>
      <c r="Q5" s="5" t="s">
        <v>736</v>
      </c>
      <c r="R5" s="5" t="s">
        <v>737</v>
      </c>
    </row>
    <row r="6" spans="1:18" ht="72">
      <c r="A6" s="144">
        <v>3</v>
      </c>
      <c r="B6" s="123">
        <v>6341101</v>
      </c>
      <c r="C6" s="95" t="s">
        <v>659</v>
      </c>
      <c r="D6" s="34" t="s">
        <v>660</v>
      </c>
      <c r="E6" s="113" t="s">
        <v>522</v>
      </c>
      <c r="F6" s="24" t="s">
        <v>5</v>
      </c>
      <c r="G6" s="108">
        <f>K6/2</f>
        <v>50000</v>
      </c>
      <c r="H6" s="25">
        <v>50000</v>
      </c>
      <c r="I6" s="25"/>
      <c r="J6" s="26">
        <f t="shared" si="1"/>
        <v>0</v>
      </c>
      <c r="K6" s="114">
        <v>100000</v>
      </c>
      <c r="L6" s="27" t="str">
        <f t="shared" si="0"/>
        <v>ปิดทุน</v>
      </c>
      <c r="M6" s="28"/>
      <c r="N6" s="110"/>
      <c r="P6" s="6" t="s">
        <v>899</v>
      </c>
    </row>
    <row r="7" spans="1:18" ht="96">
      <c r="A7" s="82">
        <v>4</v>
      </c>
      <c r="B7" s="123">
        <v>6341102</v>
      </c>
      <c r="C7" s="95" t="s">
        <v>661</v>
      </c>
      <c r="D7" s="34" t="s">
        <v>662</v>
      </c>
      <c r="E7" s="113" t="s">
        <v>522</v>
      </c>
      <c r="F7" s="24" t="s">
        <v>5</v>
      </c>
      <c r="G7" s="108">
        <f t="shared" ref="G7:G37" si="2">K7/2</f>
        <v>50000</v>
      </c>
      <c r="H7" s="25">
        <f>K7*20/100</f>
        <v>20000</v>
      </c>
      <c r="I7" s="25">
        <v>30000</v>
      </c>
      <c r="J7" s="26">
        <f t="shared" si="1"/>
        <v>0</v>
      </c>
      <c r="K7" s="114">
        <v>100000</v>
      </c>
      <c r="L7" s="27" t="str">
        <f t="shared" si="0"/>
        <v>ปิดทุน</v>
      </c>
      <c r="M7" s="24" t="s">
        <v>750</v>
      </c>
      <c r="O7" s="5" t="s">
        <v>764</v>
      </c>
    </row>
    <row r="8" spans="1:18" ht="120">
      <c r="A8" s="144">
        <v>5</v>
      </c>
      <c r="B8" s="123">
        <v>6341103</v>
      </c>
      <c r="C8" s="95" t="s">
        <v>663</v>
      </c>
      <c r="D8" s="34" t="s">
        <v>664</v>
      </c>
      <c r="E8" s="113" t="s">
        <v>522</v>
      </c>
      <c r="F8" s="24" t="s">
        <v>5</v>
      </c>
      <c r="G8" s="108">
        <f t="shared" si="2"/>
        <v>50000</v>
      </c>
      <c r="H8" s="25">
        <v>50000</v>
      </c>
      <c r="I8" s="25"/>
      <c r="J8" s="26">
        <f t="shared" si="1"/>
        <v>0</v>
      </c>
      <c r="K8" s="114">
        <v>100000</v>
      </c>
      <c r="L8" s="27" t="str">
        <f t="shared" si="0"/>
        <v>ปิดทุน</v>
      </c>
      <c r="M8" s="24"/>
      <c r="R8" s="6" t="s">
        <v>745</v>
      </c>
    </row>
    <row r="9" spans="1:18" ht="72">
      <c r="A9" s="82">
        <v>6</v>
      </c>
      <c r="B9" s="123">
        <v>6341104</v>
      </c>
      <c r="C9" s="95" t="s">
        <v>665</v>
      </c>
      <c r="D9" s="34" t="s">
        <v>666</v>
      </c>
      <c r="E9" s="113" t="s">
        <v>522</v>
      </c>
      <c r="F9" s="24" t="s">
        <v>5</v>
      </c>
      <c r="G9" s="108">
        <f t="shared" si="2"/>
        <v>50000</v>
      </c>
      <c r="H9" s="25">
        <v>50000</v>
      </c>
      <c r="I9" s="25"/>
      <c r="J9" s="26">
        <f t="shared" si="1"/>
        <v>0</v>
      </c>
      <c r="K9" s="114">
        <v>100000</v>
      </c>
      <c r="L9" s="27" t="str">
        <f t="shared" si="0"/>
        <v>ปิดทุน</v>
      </c>
      <c r="M9" s="24"/>
    </row>
    <row r="10" spans="1:18" ht="72">
      <c r="A10" s="144">
        <v>7</v>
      </c>
      <c r="B10" s="123">
        <v>6341105</v>
      </c>
      <c r="C10" s="95" t="s">
        <v>667</v>
      </c>
      <c r="D10" s="42" t="s">
        <v>668</v>
      </c>
      <c r="E10" s="113" t="s">
        <v>522</v>
      </c>
      <c r="F10" s="24" t="s">
        <v>5</v>
      </c>
      <c r="G10" s="108">
        <f t="shared" si="2"/>
        <v>50000</v>
      </c>
      <c r="H10" s="25">
        <v>50000</v>
      </c>
      <c r="I10" s="25"/>
      <c r="J10" s="26">
        <f t="shared" si="1"/>
        <v>0</v>
      </c>
      <c r="K10" s="114">
        <v>100000</v>
      </c>
      <c r="L10" s="27" t="str">
        <f t="shared" si="0"/>
        <v>ปิดทุน</v>
      </c>
      <c r="M10" s="24"/>
      <c r="N10" s="115">
        <v>242386</v>
      </c>
      <c r="P10" s="5" t="s">
        <v>756</v>
      </c>
    </row>
    <row r="11" spans="1:18" ht="96">
      <c r="A11" s="82">
        <v>8</v>
      </c>
      <c r="B11" s="123">
        <v>6341106</v>
      </c>
      <c r="C11" s="105" t="s">
        <v>669</v>
      </c>
      <c r="D11" s="37" t="s">
        <v>670</v>
      </c>
      <c r="E11" s="113" t="s">
        <v>522</v>
      </c>
      <c r="F11" s="24" t="s">
        <v>5</v>
      </c>
      <c r="G11" s="108">
        <f t="shared" si="2"/>
        <v>50000</v>
      </c>
      <c r="H11" s="25">
        <v>50000</v>
      </c>
      <c r="I11" s="25"/>
      <c r="J11" s="26">
        <f t="shared" si="1"/>
        <v>0</v>
      </c>
      <c r="K11" s="114">
        <v>100000</v>
      </c>
      <c r="L11" s="27" t="str">
        <f t="shared" si="0"/>
        <v>ปิดทุน</v>
      </c>
      <c r="M11" s="24"/>
      <c r="P11" s="5" t="s">
        <v>863</v>
      </c>
      <c r="Q11" s="5" t="s">
        <v>736</v>
      </c>
    </row>
    <row r="12" spans="1:18" ht="84">
      <c r="A12" s="144">
        <v>9</v>
      </c>
      <c r="B12" s="124">
        <v>6344101</v>
      </c>
      <c r="C12" s="95" t="s">
        <v>671</v>
      </c>
      <c r="D12" s="34" t="s">
        <v>672</v>
      </c>
      <c r="E12" s="113" t="s">
        <v>523</v>
      </c>
      <c r="F12" s="24" t="s">
        <v>5</v>
      </c>
      <c r="G12" s="133">
        <f t="shared" si="2"/>
        <v>50000</v>
      </c>
      <c r="H12" s="25">
        <v>50000</v>
      </c>
      <c r="I12" s="25"/>
      <c r="J12" s="26">
        <f t="shared" si="1"/>
        <v>0</v>
      </c>
      <c r="K12" s="114">
        <v>100000</v>
      </c>
      <c r="L12" s="27" t="str">
        <f t="shared" si="0"/>
        <v>ปิดทุน</v>
      </c>
      <c r="M12" s="27" t="s">
        <v>503</v>
      </c>
      <c r="N12" s="5" t="s">
        <v>766</v>
      </c>
      <c r="P12" s="504" t="s">
        <v>846</v>
      </c>
      <c r="Q12" s="504"/>
    </row>
    <row r="13" spans="1:18" s="199" customFormat="1" ht="48">
      <c r="A13" s="191">
        <v>10</v>
      </c>
      <c r="B13" s="207">
        <v>6344102</v>
      </c>
      <c r="C13" s="208" t="s">
        <v>673</v>
      </c>
      <c r="D13" s="206" t="s">
        <v>674</v>
      </c>
      <c r="E13" s="209" t="s">
        <v>523</v>
      </c>
      <c r="F13" s="195" t="s">
        <v>5</v>
      </c>
      <c r="G13" s="204">
        <f t="shared" si="2"/>
        <v>50000</v>
      </c>
      <c r="H13" s="196"/>
      <c r="I13" s="196"/>
      <c r="J13" s="197">
        <f t="shared" si="1"/>
        <v>-50000</v>
      </c>
      <c r="K13" s="210">
        <v>100000</v>
      </c>
      <c r="L13" s="198" t="str">
        <f t="shared" si="0"/>
        <v>ยังไม่ปิดทุน</v>
      </c>
      <c r="M13" s="195" t="s">
        <v>1152</v>
      </c>
    </row>
    <row r="14" spans="1:18" ht="96">
      <c r="A14" s="144">
        <v>11</v>
      </c>
      <c r="B14" s="124">
        <v>6344103</v>
      </c>
      <c r="C14" s="95" t="s">
        <v>675</v>
      </c>
      <c r="D14" s="37" t="s">
        <v>676</v>
      </c>
      <c r="E14" s="113" t="s">
        <v>523</v>
      </c>
      <c r="F14" s="24" t="s">
        <v>5</v>
      </c>
      <c r="G14" s="108">
        <f t="shared" si="2"/>
        <v>50000</v>
      </c>
      <c r="H14" s="25">
        <v>50000</v>
      </c>
      <c r="I14" s="25"/>
      <c r="J14" s="26">
        <f t="shared" si="1"/>
        <v>0</v>
      </c>
      <c r="K14" s="114">
        <v>100000</v>
      </c>
      <c r="L14" s="27" t="str">
        <f t="shared" si="0"/>
        <v>ปิดทุน</v>
      </c>
      <c r="M14" s="5"/>
      <c r="P14" s="6" t="s">
        <v>844</v>
      </c>
    </row>
    <row r="15" spans="1:18" ht="120">
      <c r="A15" s="82">
        <v>12</v>
      </c>
      <c r="B15" s="124">
        <v>6347101</v>
      </c>
      <c r="C15" s="96" t="s">
        <v>677</v>
      </c>
      <c r="D15" s="37" t="s">
        <v>678</v>
      </c>
      <c r="E15" s="113" t="s">
        <v>526</v>
      </c>
      <c r="F15" s="24" t="s">
        <v>5</v>
      </c>
      <c r="G15" s="108">
        <f t="shared" si="2"/>
        <v>50000</v>
      </c>
      <c r="H15" s="25">
        <v>50000</v>
      </c>
      <c r="I15" s="25"/>
      <c r="J15" s="26">
        <f t="shared" si="1"/>
        <v>0</v>
      </c>
      <c r="K15" s="114">
        <v>100000</v>
      </c>
      <c r="L15" s="27" t="str">
        <f t="shared" si="0"/>
        <v>ปิดทุน</v>
      </c>
      <c r="M15" s="24"/>
      <c r="P15" s="5" t="s">
        <v>864</v>
      </c>
    </row>
    <row r="16" spans="1:18" ht="48">
      <c r="A16" s="144">
        <v>13</v>
      </c>
      <c r="B16" s="124">
        <v>6347102</v>
      </c>
      <c r="C16" s="95" t="s">
        <v>679</v>
      </c>
      <c r="D16" s="34" t="s">
        <v>680</v>
      </c>
      <c r="E16" s="113" t="s">
        <v>526</v>
      </c>
      <c r="F16" s="24" t="s">
        <v>5</v>
      </c>
      <c r="G16" s="108">
        <f t="shared" si="2"/>
        <v>50000</v>
      </c>
      <c r="H16" s="25">
        <f>K3:K37*20/100</f>
        <v>20000</v>
      </c>
      <c r="I16" s="25">
        <v>30000</v>
      </c>
      <c r="J16" s="26">
        <f t="shared" si="1"/>
        <v>0</v>
      </c>
      <c r="K16" s="114">
        <v>100000</v>
      </c>
      <c r="L16" s="27" t="str">
        <f t="shared" si="0"/>
        <v>ปิดทุน</v>
      </c>
      <c r="M16" s="24" t="s">
        <v>750</v>
      </c>
      <c r="O16" s="5" t="s">
        <v>764</v>
      </c>
    </row>
    <row r="17" spans="1:18" ht="120">
      <c r="A17" s="82">
        <v>14</v>
      </c>
      <c r="B17" s="124">
        <v>6347103</v>
      </c>
      <c r="C17" s="96" t="s">
        <v>681</v>
      </c>
      <c r="D17" s="37" t="s">
        <v>682</v>
      </c>
      <c r="E17" s="113" t="s">
        <v>526</v>
      </c>
      <c r="F17" s="24" t="s">
        <v>5</v>
      </c>
      <c r="G17" s="108">
        <f t="shared" si="2"/>
        <v>50000</v>
      </c>
      <c r="H17" s="25">
        <v>50000</v>
      </c>
      <c r="I17" s="25"/>
      <c r="J17" s="26">
        <f t="shared" si="1"/>
        <v>0</v>
      </c>
      <c r="K17" s="114">
        <v>100000</v>
      </c>
      <c r="L17" s="27" t="str">
        <f t="shared" si="0"/>
        <v>ปิดทุน</v>
      </c>
      <c r="M17" s="24"/>
      <c r="N17" s="24"/>
      <c r="O17" s="23" t="s">
        <v>767</v>
      </c>
    </row>
    <row r="18" spans="1:18" ht="120">
      <c r="A18" s="144">
        <v>15</v>
      </c>
      <c r="B18" s="124">
        <v>6343102</v>
      </c>
      <c r="C18" s="95" t="s">
        <v>683</v>
      </c>
      <c r="D18" s="37" t="s">
        <v>684</v>
      </c>
      <c r="E18" s="113" t="s">
        <v>521</v>
      </c>
      <c r="F18" s="24" t="s">
        <v>5</v>
      </c>
      <c r="G18" s="108">
        <f t="shared" si="2"/>
        <v>50000</v>
      </c>
      <c r="H18" s="25">
        <v>50000</v>
      </c>
      <c r="I18" s="25"/>
      <c r="J18" s="26">
        <f t="shared" si="1"/>
        <v>0</v>
      </c>
      <c r="K18" s="114">
        <v>100000</v>
      </c>
      <c r="L18" s="27" t="str">
        <f>IF(J18=0,"ปิดทุน",IF(J18&lt;0,"ยังไม่ปิดทุน","เกินทุน"))</f>
        <v>ปิดทุน</v>
      </c>
      <c r="M18" s="24"/>
      <c r="N18" s="5" t="s">
        <v>888</v>
      </c>
      <c r="P18" s="5" t="s">
        <v>840</v>
      </c>
      <c r="R18" s="1"/>
    </row>
    <row r="19" spans="1:18" ht="72">
      <c r="A19" s="82">
        <v>16</v>
      </c>
      <c r="B19" s="124">
        <v>6343103</v>
      </c>
      <c r="C19" s="95" t="s">
        <v>685</v>
      </c>
      <c r="D19" s="37" t="s">
        <v>686</v>
      </c>
      <c r="E19" s="113" t="s">
        <v>521</v>
      </c>
      <c r="F19" s="24" t="s">
        <v>5</v>
      </c>
      <c r="G19" s="108">
        <f t="shared" si="2"/>
        <v>50000</v>
      </c>
      <c r="H19" s="25">
        <v>50000</v>
      </c>
      <c r="I19" s="25"/>
      <c r="J19" s="26">
        <f t="shared" si="1"/>
        <v>0</v>
      </c>
      <c r="K19" s="114">
        <v>100000</v>
      </c>
      <c r="L19" s="27" t="str">
        <f t="shared" si="0"/>
        <v>ปิดทุน</v>
      </c>
      <c r="M19" s="24"/>
      <c r="R19" s="5" t="s">
        <v>746</v>
      </c>
    </row>
    <row r="20" spans="1:18" ht="72">
      <c r="A20" s="144">
        <v>17</v>
      </c>
      <c r="B20" s="124">
        <v>6343104</v>
      </c>
      <c r="C20" s="95" t="s">
        <v>687</v>
      </c>
      <c r="D20" s="34" t="s">
        <v>688</v>
      </c>
      <c r="E20" s="113" t="s">
        <v>521</v>
      </c>
      <c r="F20" s="24" t="s">
        <v>5</v>
      </c>
      <c r="G20" s="108">
        <f t="shared" si="2"/>
        <v>50000</v>
      </c>
      <c r="H20" s="25">
        <v>50000</v>
      </c>
      <c r="I20" s="25"/>
      <c r="J20" s="26">
        <f t="shared" si="1"/>
        <v>0</v>
      </c>
      <c r="K20" s="114">
        <v>100000</v>
      </c>
      <c r="L20" s="27" t="str">
        <f t="shared" si="0"/>
        <v>ปิดทุน</v>
      </c>
      <c r="M20" s="24"/>
      <c r="N20" s="115" t="s">
        <v>748</v>
      </c>
      <c r="O20" s="5" t="s">
        <v>747</v>
      </c>
    </row>
    <row r="21" spans="1:18" ht="72.75" customHeight="1">
      <c r="A21" s="82">
        <v>18</v>
      </c>
      <c r="B21" s="124">
        <v>6343105</v>
      </c>
      <c r="C21" s="95" t="s">
        <v>689</v>
      </c>
      <c r="D21" s="34" t="s">
        <v>690</v>
      </c>
      <c r="E21" s="113" t="s">
        <v>521</v>
      </c>
      <c r="F21" s="24" t="s">
        <v>5</v>
      </c>
      <c r="G21" s="108">
        <f t="shared" si="2"/>
        <v>50000</v>
      </c>
      <c r="H21" s="25">
        <v>50000</v>
      </c>
      <c r="I21" s="25"/>
      <c r="J21" s="26">
        <f t="shared" si="1"/>
        <v>0</v>
      </c>
      <c r="K21" s="114">
        <v>100000</v>
      </c>
      <c r="L21" s="27" t="str">
        <f t="shared" si="0"/>
        <v>ปิดทุน</v>
      </c>
      <c r="M21" s="24"/>
      <c r="N21" s="5" t="s">
        <v>887</v>
      </c>
      <c r="P21" s="5" t="s">
        <v>879</v>
      </c>
    </row>
    <row r="22" spans="1:18" s="199" customFormat="1" ht="48">
      <c r="A22" s="212">
        <v>19</v>
      </c>
      <c r="B22" s="207">
        <v>6343106</v>
      </c>
      <c r="C22" s="208" t="s">
        <v>691</v>
      </c>
      <c r="D22" s="213" t="s">
        <v>692</v>
      </c>
      <c r="E22" s="209" t="s">
        <v>521</v>
      </c>
      <c r="F22" s="195" t="s">
        <v>5</v>
      </c>
      <c r="G22" s="204">
        <f t="shared" si="2"/>
        <v>50000</v>
      </c>
      <c r="H22" s="196"/>
      <c r="I22" s="196"/>
      <c r="J22" s="197">
        <f t="shared" si="1"/>
        <v>-50000</v>
      </c>
      <c r="K22" s="210">
        <v>100000</v>
      </c>
      <c r="L22" s="198" t="str">
        <f t="shared" si="0"/>
        <v>ยังไม่ปิดทุน</v>
      </c>
      <c r="M22" s="195" t="s">
        <v>1154</v>
      </c>
    </row>
    <row r="23" spans="1:18" ht="72">
      <c r="A23" s="82">
        <v>20</v>
      </c>
      <c r="B23" s="124">
        <v>6343107</v>
      </c>
      <c r="C23" s="95" t="s">
        <v>693</v>
      </c>
      <c r="D23" s="34" t="s">
        <v>694</v>
      </c>
      <c r="E23" s="113" t="s">
        <v>521</v>
      </c>
      <c r="F23" s="24" t="s">
        <v>5</v>
      </c>
      <c r="G23" s="133">
        <f t="shared" si="2"/>
        <v>50000</v>
      </c>
      <c r="H23" s="25">
        <v>50000</v>
      </c>
      <c r="I23" s="25"/>
      <c r="J23" s="26">
        <f t="shared" si="1"/>
        <v>0</v>
      </c>
      <c r="K23" s="114">
        <v>100000</v>
      </c>
      <c r="L23" s="27" t="str">
        <f t="shared" si="0"/>
        <v>ปิดทุน</v>
      </c>
      <c r="M23" s="24" t="s">
        <v>1095</v>
      </c>
      <c r="P23" s="6" t="s">
        <v>1091</v>
      </c>
      <c r="Q23" s="6" t="s">
        <v>1000</v>
      </c>
    </row>
    <row r="24" spans="1:18" ht="72">
      <c r="A24" s="144">
        <v>21</v>
      </c>
      <c r="B24" s="124">
        <v>6343101</v>
      </c>
      <c r="C24" s="95" t="s">
        <v>695</v>
      </c>
      <c r="D24" s="37" t="s">
        <v>696</v>
      </c>
      <c r="E24" s="113" t="s">
        <v>521</v>
      </c>
      <c r="F24" s="24" t="s">
        <v>5</v>
      </c>
      <c r="G24" s="133">
        <f t="shared" si="2"/>
        <v>50000</v>
      </c>
      <c r="H24" s="25">
        <v>50000</v>
      </c>
      <c r="I24" s="25"/>
      <c r="J24" s="26">
        <f t="shared" si="1"/>
        <v>0</v>
      </c>
      <c r="K24" s="114">
        <v>100000</v>
      </c>
      <c r="L24" s="27" t="str">
        <f t="shared" si="0"/>
        <v>ปิดทุน</v>
      </c>
      <c r="M24" s="24" t="s">
        <v>1096</v>
      </c>
      <c r="P24" s="6" t="s">
        <v>1092</v>
      </c>
      <c r="Q24" s="6" t="s">
        <v>1000</v>
      </c>
    </row>
    <row r="25" spans="1:18" ht="72">
      <c r="A25" s="82">
        <v>22</v>
      </c>
      <c r="B25" s="124">
        <v>6346101</v>
      </c>
      <c r="C25" s="95" t="s">
        <v>697</v>
      </c>
      <c r="D25" s="37" t="s">
        <v>698</v>
      </c>
      <c r="E25" s="113" t="s">
        <v>525</v>
      </c>
      <c r="F25" s="24" t="s">
        <v>5</v>
      </c>
      <c r="G25" s="108">
        <f t="shared" si="2"/>
        <v>47500</v>
      </c>
      <c r="H25" s="25">
        <v>47500</v>
      </c>
      <c r="I25" s="25"/>
      <c r="J25" s="26">
        <f t="shared" si="1"/>
        <v>0</v>
      </c>
      <c r="K25" s="114">
        <v>95000</v>
      </c>
      <c r="L25" s="27" t="str">
        <f t="shared" si="0"/>
        <v>ปิดทุน</v>
      </c>
      <c r="M25" s="24"/>
    </row>
    <row r="26" spans="1:18" ht="72">
      <c r="A26" s="144">
        <v>23</v>
      </c>
      <c r="B26" s="124">
        <v>6346102</v>
      </c>
      <c r="C26" s="95" t="s">
        <v>699</v>
      </c>
      <c r="D26" s="37" t="s">
        <v>700</v>
      </c>
      <c r="E26" s="113" t="s">
        <v>525</v>
      </c>
      <c r="F26" s="24" t="s">
        <v>5</v>
      </c>
      <c r="G26" s="108">
        <f t="shared" si="2"/>
        <v>40000</v>
      </c>
      <c r="H26" s="25">
        <v>40000</v>
      </c>
      <c r="I26" s="25"/>
      <c r="J26" s="26">
        <f t="shared" si="1"/>
        <v>0</v>
      </c>
      <c r="K26" s="114">
        <v>80000</v>
      </c>
      <c r="L26" s="27" t="str">
        <f t="shared" si="0"/>
        <v>ปิดทุน</v>
      </c>
      <c r="M26" s="24"/>
      <c r="N26" s="115">
        <v>242295</v>
      </c>
      <c r="P26" s="5" t="s">
        <v>741</v>
      </c>
    </row>
    <row r="27" spans="1:18" s="199" customFormat="1" ht="72">
      <c r="A27" s="191">
        <v>24</v>
      </c>
      <c r="B27" s="207">
        <v>6346103</v>
      </c>
      <c r="C27" s="208" t="s">
        <v>701</v>
      </c>
      <c r="D27" s="206" t="s">
        <v>702</v>
      </c>
      <c r="E27" s="209" t="s">
        <v>525</v>
      </c>
      <c r="F27" s="195" t="s">
        <v>5</v>
      </c>
      <c r="G27" s="204">
        <f t="shared" si="2"/>
        <v>46000</v>
      </c>
      <c r="H27" s="196"/>
      <c r="I27" s="196"/>
      <c r="J27" s="197">
        <f t="shared" si="1"/>
        <v>-46000</v>
      </c>
      <c r="K27" s="210">
        <v>92000</v>
      </c>
      <c r="L27" s="198" t="str">
        <f t="shared" si="0"/>
        <v>ยังไม่ปิดทุน</v>
      </c>
      <c r="M27" s="195" t="s">
        <v>1150</v>
      </c>
    </row>
    <row r="28" spans="1:18" ht="72">
      <c r="A28" s="144">
        <v>25</v>
      </c>
      <c r="B28" s="124">
        <v>6345101</v>
      </c>
      <c r="C28" s="96" t="s">
        <v>703</v>
      </c>
      <c r="D28" s="37" t="s">
        <v>704</v>
      </c>
      <c r="E28" s="113" t="s">
        <v>524</v>
      </c>
      <c r="F28" s="24" t="s">
        <v>5</v>
      </c>
      <c r="G28" s="108">
        <f t="shared" si="2"/>
        <v>47500</v>
      </c>
      <c r="H28" s="25">
        <v>47500</v>
      </c>
      <c r="I28" s="25"/>
      <c r="J28" s="26">
        <f t="shared" si="1"/>
        <v>0</v>
      </c>
      <c r="K28" s="114">
        <v>95000</v>
      </c>
      <c r="L28" s="27" t="str">
        <f t="shared" si="0"/>
        <v>ปิดทุน</v>
      </c>
      <c r="M28" s="24"/>
    </row>
    <row r="29" spans="1:18" ht="96">
      <c r="A29" s="82">
        <v>26</v>
      </c>
      <c r="B29" s="124">
        <v>6345102</v>
      </c>
      <c r="C29" s="95" t="s">
        <v>705</v>
      </c>
      <c r="D29" s="37" t="s">
        <v>706</v>
      </c>
      <c r="E29" s="113" t="s">
        <v>524</v>
      </c>
      <c r="F29" s="24" t="s">
        <v>5</v>
      </c>
      <c r="G29" s="133">
        <f t="shared" si="2"/>
        <v>47500</v>
      </c>
      <c r="H29" s="25">
        <v>47500</v>
      </c>
      <c r="I29" s="25"/>
      <c r="J29" s="26">
        <f t="shared" si="1"/>
        <v>0</v>
      </c>
      <c r="K29" s="114">
        <v>95000</v>
      </c>
      <c r="L29" s="27" t="str">
        <f t="shared" si="0"/>
        <v>ปิดทุน</v>
      </c>
      <c r="M29" s="23"/>
      <c r="P29" s="6" t="s">
        <v>868</v>
      </c>
      <c r="Q29" s="5" t="s">
        <v>1001</v>
      </c>
    </row>
    <row r="30" spans="1:18" ht="48">
      <c r="A30" s="144">
        <v>27</v>
      </c>
      <c r="B30" s="124">
        <v>6345103</v>
      </c>
      <c r="C30" s="95" t="s">
        <v>707</v>
      </c>
      <c r="D30" s="37" t="s">
        <v>708</v>
      </c>
      <c r="E30" s="113" t="s">
        <v>524</v>
      </c>
      <c r="F30" s="24" t="s">
        <v>5</v>
      </c>
      <c r="G30" s="108">
        <f t="shared" si="2"/>
        <v>47500</v>
      </c>
      <c r="H30" s="25">
        <v>47500</v>
      </c>
      <c r="I30" s="25"/>
      <c r="J30" s="26">
        <f t="shared" si="1"/>
        <v>0</v>
      </c>
      <c r="K30" s="114">
        <v>95000</v>
      </c>
      <c r="L30" s="27" t="str">
        <f t="shared" si="0"/>
        <v>ปิดทุน</v>
      </c>
      <c r="M30" s="24"/>
    </row>
    <row r="31" spans="1:18" ht="48">
      <c r="A31" s="82">
        <v>28</v>
      </c>
      <c r="B31" s="124">
        <v>6345104</v>
      </c>
      <c r="C31" s="95" t="s">
        <v>709</v>
      </c>
      <c r="D31" s="37" t="s">
        <v>710</v>
      </c>
      <c r="E31" s="113" t="s">
        <v>524</v>
      </c>
      <c r="F31" s="24" t="s">
        <v>5</v>
      </c>
      <c r="G31" s="133">
        <f t="shared" si="2"/>
        <v>47500</v>
      </c>
      <c r="H31" s="25">
        <v>47500</v>
      </c>
      <c r="I31" s="25"/>
      <c r="J31" s="26">
        <f t="shared" si="1"/>
        <v>0</v>
      </c>
      <c r="K31" s="114">
        <v>95000</v>
      </c>
      <c r="L31" s="27" t="str">
        <f t="shared" si="0"/>
        <v>ปิดทุน</v>
      </c>
      <c r="M31" s="24"/>
      <c r="N31" s="5" t="s">
        <v>999</v>
      </c>
      <c r="P31" s="6" t="s">
        <v>995</v>
      </c>
      <c r="Q31" s="6" t="s">
        <v>1000</v>
      </c>
    </row>
    <row r="32" spans="1:18" ht="86.25" customHeight="1">
      <c r="A32" s="144">
        <v>29</v>
      </c>
      <c r="B32" s="124">
        <v>6345105</v>
      </c>
      <c r="C32" s="95" t="s">
        <v>711</v>
      </c>
      <c r="D32" s="34" t="s">
        <v>712</v>
      </c>
      <c r="E32" s="113" t="s">
        <v>524</v>
      </c>
      <c r="F32" s="24" t="s">
        <v>5</v>
      </c>
      <c r="G32" s="108">
        <f t="shared" si="2"/>
        <v>47500</v>
      </c>
      <c r="H32" s="25">
        <v>47500</v>
      </c>
      <c r="I32" s="25"/>
      <c r="J32" s="26">
        <f t="shared" si="1"/>
        <v>0</v>
      </c>
      <c r="K32" s="114">
        <v>95000</v>
      </c>
      <c r="L32" s="27" t="s">
        <v>503</v>
      </c>
      <c r="M32" s="24"/>
      <c r="N32" s="115">
        <v>242388</v>
      </c>
      <c r="P32" s="5" t="s">
        <v>757</v>
      </c>
    </row>
    <row r="33" spans="1:17" ht="96">
      <c r="A33" s="82">
        <v>30</v>
      </c>
      <c r="B33" s="124">
        <v>6345106</v>
      </c>
      <c r="C33" s="95" t="s">
        <v>713</v>
      </c>
      <c r="D33" s="37" t="s">
        <v>714</v>
      </c>
      <c r="E33" s="113" t="s">
        <v>524</v>
      </c>
      <c r="F33" s="24" t="s">
        <v>5</v>
      </c>
      <c r="G33" s="108">
        <f t="shared" si="2"/>
        <v>47500</v>
      </c>
      <c r="H33" s="25">
        <v>47500</v>
      </c>
      <c r="I33" s="25"/>
      <c r="J33" s="26">
        <f t="shared" si="1"/>
        <v>0</v>
      </c>
      <c r="K33" s="114">
        <v>95000</v>
      </c>
      <c r="L33" s="27" t="str">
        <f t="shared" si="0"/>
        <v>ปิดทุน</v>
      </c>
      <c r="M33" s="23"/>
      <c r="N33" s="5" t="s">
        <v>837</v>
      </c>
      <c r="P33" s="5" t="s">
        <v>835</v>
      </c>
    </row>
    <row r="34" spans="1:17" ht="48">
      <c r="A34" s="144">
        <v>31</v>
      </c>
      <c r="B34" s="124">
        <v>6345107</v>
      </c>
      <c r="C34" s="95" t="s">
        <v>715</v>
      </c>
      <c r="D34" s="37" t="s">
        <v>716</v>
      </c>
      <c r="E34" s="113" t="s">
        <v>524</v>
      </c>
      <c r="F34" s="24" t="s">
        <v>5</v>
      </c>
      <c r="G34" s="108">
        <f t="shared" si="2"/>
        <v>47500</v>
      </c>
      <c r="H34" s="25">
        <v>47500</v>
      </c>
      <c r="I34" s="25"/>
      <c r="J34" s="26">
        <f t="shared" si="1"/>
        <v>0</v>
      </c>
      <c r="K34" s="114">
        <v>95000</v>
      </c>
      <c r="L34" s="27" t="str">
        <f t="shared" si="0"/>
        <v>ปิดทุน</v>
      </c>
      <c r="M34" s="24"/>
      <c r="P34" s="6" t="s">
        <v>751</v>
      </c>
      <c r="Q34" s="6"/>
    </row>
    <row r="35" spans="1:17" ht="96">
      <c r="A35" s="82">
        <v>32</v>
      </c>
      <c r="B35" s="124">
        <v>6340101</v>
      </c>
      <c r="C35" s="95" t="s">
        <v>717</v>
      </c>
      <c r="D35" s="37" t="s">
        <v>718</v>
      </c>
      <c r="E35" s="113" t="s">
        <v>520</v>
      </c>
      <c r="F35" s="24" t="s">
        <v>5</v>
      </c>
      <c r="G35" s="108">
        <f t="shared" si="2"/>
        <v>37500</v>
      </c>
      <c r="H35" s="25">
        <v>37500</v>
      </c>
      <c r="I35" s="25"/>
      <c r="J35" s="26">
        <f t="shared" si="1"/>
        <v>0</v>
      </c>
      <c r="K35" s="114">
        <v>75000</v>
      </c>
      <c r="L35" s="27" t="str">
        <f t="shared" si="0"/>
        <v>ปิดทุน</v>
      </c>
      <c r="M35" s="24"/>
      <c r="N35" s="115">
        <v>242360</v>
      </c>
      <c r="P35" s="1" t="s">
        <v>754</v>
      </c>
      <c r="Q35" s="6"/>
    </row>
    <row r="36" spans="1:17" ht="96">
      <c r="A36" s="144">
        <v>33</v>
      </c>
      <c r="B36" s="124">
        <v>6340102</v>
      </c>
      <c r="C36" s="95" t="s">
        <v>1023</v>
      </c>
      <c r="D36" s="37" t="s">
        <v>719</v>
      </c>
      <c r="E36" s="113" t="s">
        <v>520</v>
      </c>
      <c r="F36" s="24" t="s">
        <v>5</v>
      </c>
      <c r="G36" s="133">
        <f t="shared" si="2"/>
        <v>35000</v>
      </c>
      <c r="H36" s="25">
        <v>35000</v>
      </c>
      <c r="I36" s="25"/>
      <c r="J36" s="26">
        <f t="shared" si="1"/>
        <v>0</v>
      </c>
      <c r="K36" s="114">
        <v>70000</v>
      </c>
      <c r="L36" s="27" t="s">
        <v>503</v>
      </c>
      <c r="M36" s="24" t="s">
        <v>1022</v>
      </c>
      <c r="N36" s="5" t="s">
        <v>1028</v>
      </c>
      <c r="P36" s="5" t="s">
        <v>1029</v>
      </c>
    </row>
    <row r="37" spans="1:17" ht="48">
      <c r="A37" s="82">
        <v>34</v>
      </c>
      <c r="B37" s="124">
        <v>6340103</v>
      </c>
      <c r="C37" s="96" t="s">
        <v>1005</v>
      </c>
      <c r="D37" s="37" t="s">
        <v>720</v>
      </c>
      <c r="E37" s="113" t="s">
        <v>520</v>
      </c>
      <c r="F37" s="24" t="s">
        <v>5</v>
      </c>
      <c r="G37" s="133">
        <f t="shared" si="2"/>
        <v>34000</v>
      </c>
      <c r="H37" s="25">
        <f>K37*20%</f>
        <v>13600</v>
      </c>
      <c r="I37" s="25">
        <v>20400</v>
      </c>
      <c r="J37" s="26">
        <f t="shared" si="1"/>
        <v>0</v>
      </c>
      <c r="K37" s="114">
        <v>68000</v>
      </c>
      <c r="L37" s="27" t="str">
        <f t="shared" si="0"/>
        <v>ปิดทุน</v>
      </c>
      <c r="M37" s="24"/>
      <c r="N37" s="5" t="s">
        <v>1007</v>
      </c>
      <c r="P37" s="5" t="s">
        <v>1004</v>
      </c>
    </row>
    <row r="38" spans="1:17" ht="48">
      <c r="B38" s="30"/>
      <c r="C38" s="96" t="s">
        <v>1006</v>
      </c>
      <c r="E38" s="100"/>
      <c r="K38" s="8">
        <f>SUM(K4:K37)</f>
        <v>3235000</v>
      </c>
      <c r="N38" s="30"/>
    </row>
    <row r="39" spans="1:17">
      <c r="I39" s="5"/>
      <c r="J39" s="5"/>
      <c r="K39" s="5"/>
      <c r="L39" s="5"/>
      <c r="O39" s="109"/>
      <c r="P39" s="109"/>
    </row>
    <row r="40" spans="1:17">
      <c r="C40" s="5"/>
      <c r="I40" s="5"/>
      <c r="J40" s="5"/>
      <c r="K40" s="5"/>
      <c r="L40" s="5"/>
      <c r="M40" s="5"/>
    </row>
    <row r="41" spans="1:17">
      <c r="C41" s="5"/>
      <c r="I41" s="5"/>
      <c r="J41" s="5"/>
      <c r="K41" s="5"/>
      <c r="L41" s="91">
        <f>J37+J36+J34+J30+J27+J26+J24+J23+J21+J17+J16+J15+J13+J12+J11+J10+J9+J8+J6+J5</f>
        <v>-96000</v>
      </c>
      <c r="M41" s="5"/>
    </row>
    <row r="42" spans="1:17">
      <c r="C42" s="5"/>
      <c r="I42" s="5"/>
      <c r="J42" s="5"/>
      <c r="K42" s="5"/>
      <c r="L42" s="5"/>
      <c r="M42" s="5"/>
    </row>
    <row r="43" spans="1:17">
      <c r="A43" s="81" t="s">
        <v>0</v>
      </c>
      <c r="B43" s="81"/>
      <c r="C43" s="55" t="s">
        <v>527</v>
      </c>
      <c r="D43" s="80" t="s">
        <v>534</v>
      </c>
      <c r="E43" s="83" t="s">
        <v>535</v>
      </c>
      <c r="I43" s="5"/>
      <c r="J43" s="5"/>
      <c r="K43" s="5"/>
      <c r="L43" s="5"/>
      <c r="M43" s="5"/>
    </row>
    <row r="44" spans="1:17">
      <c r="A44" s="77">
        <v>1</v>
      </c>
      <c r="B44" s="121"/>
      <c r="C44" s="78" t="s">
        <v>528</v>
      </c>
      <c r="D44" s="85">
        <f>COUNTIF(E4:E37,"IC")</f>
        <v>6</v>
      </c>
      <c r="E44" s="88">
        <f>SUMIF(E4:E37,"IC",K4:K37)</f>
        <v>600000</v>
      </c>
      <c r="I44" s="5"/>
      <c r="J44" s="5"/>
      <c r="K44" s="5"/>
      <c r="L44" s="5"/>
      <c r="M44" s="5"/>
    </row>
    <row r="45" spans="1:17" ht="48">
      <c r="A45" s="77">
        <v>2</v>
      </c>
      <c r="B45" s="121"/>
      <c r="C45" s="78" t="s">
        <v>532</v>
      </c>
      <c r="D45" s="85">
        <f>COUNTIF(E4:E37,"AFET")</f>
        <v>3</v>
      </c>
      <c r="E45" s="88">
        <f ca="1">SUMIF(E4:E39,"AFET",K4:K37)</f>
        <v>300000</v>
      </c>
      <c r="I45" s="5"/>
      <c r="J45" s="5"/>
      <c r="K45" s="5"/>
      <c r="L45" s="5"/>
      <c r="M45" s="5"/>
    </row>
    <row r="46" spans="1:17">
      <c r="A46" s="77">
        <v>3</v>
      </c>
      <c r="B46" s="121"/>
      <c r="C46" s="78" t="s">
        <v>517</v>
      </c>
      <c r="D46" s="85">
        <f>COUNTIF(E5:E38,"BT")</f>
        <v>3</v>
      </c>
      <c r="E46" s="88">
        <f>SUMIF(E4:E37,"BT",K4:K37)</f>
        <v>300000</v>
      </c>
      <c r="I46" s="5"/>
      <c r="J46" s="5"/>
      <c r="K46" s="5"/>
      <c r="L46" s="5"/>
      <c r="M46" s="5"/>
    </row>
    <row r="47" spans="1:17" ht="48">
      <c r="A47" s="77">
        <v>4</v>
      </c>
      <c r="B47" s="121"/>
      <c r="C47" s="78" t="s">
        <v>529</v>
      </c>
      <c r="D47" s="85">
        <f>COUNTIF(E6:E39,"CS")</f>
        <v>3</v>
      </c>
      <c r="E47" s="88">
        <f>SUMIF(E4:E37,"CS",K4:K37)</f>
        <v>267000</v>
      </c>
      <c r="L47" s="5"/>
      <c r="M47" s="5"/>
    </row>
    <row r="48" spans="1:17">
      <c r="A48" s="77">
        <v>5</v>
      </c>
      <c r="B48" s="121"/>
      <c r="C48" s="78" t="s">
        <v>518</v>
      </c>
      <c r="D48" s="85">
        <f>COUNTIF(E7:E40,"AS")</f>
        <v>7</v>
      </c>
      <c r="E48" s="88">
        <f>SUMIF(E4:E37,"AS",K4:K37)</f>
        <v>665000</v>
      </c>
      <c r="L48" s="5"/>
      <c r="M48" s="5"/>
    </row>
    <row r="49" spans="1:13">
      <c r="A49" s="77">
        <v>6</v>
      </c>
      <c r="B49" s="121"/>
      <c r="C49" s="78" t="s">
        <v>530</v>
      </c>
      <c r="D49" s="85">
        <f>COUNTIF(E4:E41,"MA")</f>
        <v>2</v>
      </c>
      <c r="E49" s="88">
        <f>SUMIF(E4:E37,"MA",K4:K37)</f>
        <v>190000</v>
      </c>
      <c r="L49" s="5"/>
      <c r="M49" s="5"/>
    </row>
    <row r="50" spans="1:13" ht="48">
      <c r="A50" s="77">
        <v>7</v>
      </c>
      <c r="B50" s="121"/>
      <c r="C50" s="79" t="s">
        <v>531</v>
      </c>
      <c r="D50" s="85">
        <f>COUNTIF(E9:E42,"IMI")</f>
        <v>7</v>
      </c>
      <c r="E50" s="88">
        <f>SUMIF(E4:E37,"IMI",K4:K37)</f>
        <v>700000</v>
      </c>
      <c r="L50" s="5"/>
      <c r="M50" s="5"/>
    </row>
    <row r="51" spans="1:13">
      <c r="A51" s="77">
        <v>8</v>
      </c>
      <c r="B51" s="122"/>
      <c r="C51" s="86" t="s">
        <v>516</v>
      </c>
      <c r="D51" s="85">
        <f>COUNTIF(E4:E43,"DO")</f>
        <v>3</v>
      </c>
      <c r="E51" s="88">
        <f ca="1">SUMIF(E4:E38,"DO",K4:K37)</f>
        <v>213000</v>
      </c>
      <c r="L51" s="5"/>
      <c r="M51" s="5"/>
    </row>
    <row r="52" spans="1:13" ht="24.6" thickBot="1">
      <c r="C52" s="5"/>
      <c r="D52" s="87">
        <f>SUM(D44:D51)</f>
        <v>34</v>
      </c>
      <c r="E52" s="89">
        <f ca="1">SUM(E44:E51)</f>
        <v>3235000</v>
      </c>
      <c r="L52" s="5"/>
      <c r="M52" s="5"/>
    </row>
    <row r="53" spans="1:13" ht="24.6" thickTop="1">
      <c r="C53" s="5"/>
      <c r="L53" s="5"/>
      <c r="M53" s="5"/>
    </row>
    <row r="54" spans="1:13">
      <c r="C54" s="5"/>
      <c r="L54" s="5"/>
      <c r="M54" s="5"/>
    </row>
    <row r="55" spans="1:13">
      <c r="C55" s="5"/>
      <c r="L55" s="5"/>
      <c r="M55" s="5"/>
    </row>
    <row r="56" spans="1:13">
      <c r="C56" s="5"/>
      <c r="L56" s="5"/>
      <c r="M56" s="5"/>
    </row>
    <row r="57" spans="1:13">
      <c r="C57" s="5"/>
      <c r="L57" s="5"/>
      <c r="M57" s="5"/>
    </row>
    <row r="58" spans="1:13">
      <c r="C58" s="5"/>
      <c r="L58" s="5"/>
      <c r="M58" s="5"/>
    </row>
    <row r="59" spans="1:13">
      <c r="C59" s="5"/>
      <c r="L59" s="5"/>
      <c r="M59" s="5"/>
    </row>
    <row r="60" spans="1:13">
      <c r="C60" s="5"/>
      <c r="L60" s="5"/>
      <c r="M60" s="5"/>
    </row>
    <row r="61" spans="1:13">
      <c r="C61" s="5"/>
      <c r="L61" s="5"/>
      <c r="M61" s="5"/>
    </row>
    <row r="62" spans="1:13">
      <c r="C62" s="5"/>
      <c r="I62" s="5"/>
      <c r="J62" s="5"/>
      <c r="K62" s="5"/>
      <c r="L62" s="5"/>
      <c r="M62" s="5"/>
    </row>
    <row r="63" spans="1:13">
      <c r="C63" s="5"/>
      <c r="I63" s="5"/>
      <c r="J63" s="5"/>
      <c r="K63" s="5"/>
      <c r="L63" s="5"/>
      <c r="M63" s="5"/>
    </row>
    <row r="64" spans="1:13">
      <c r="C64" s="5"/>
      <c r="I64" s="5"/>
      <c r="J64" s="5"/>
      <c r="K64" s="5"/>
      <c r="L64" s="5"/>
      <c r="M64" s="5"/>
    </row>
    <row r="65" spans="3:13">
      <c r="C65" s="5"/>
      <c r="I65" s="5"/>
      <c r="J65" s="5"/>
      <c r="K65" s="5"/>
      <c r="L65" s="5"/>
      <c r="M65" s="5"/>
    </row>
    <row r="66" spans="3:13">
      <c r="C66" s="5"/>
      <c r="I66" s="5"/>
      <c r="J66" s="5"/>
      <c r="K66" s="5"/>
      <c r="L66" s="5"/>
      <c r="M66" s="5"/>
    </row>
    <row r="67" spans="3:13">
      <c r="C67" s="5"/>
      <c r="I67" s="5"/>
      <c r="J67" s="5"/>
      <c r="K67" s="5"/>
      <c r="L67" s="5"/>
      <c r="M67" s="5"/>
    </row>
    <row r="68" spans="3:13">
      <c r="C68" s="5"/>
      <c r="I68" s="5"/>
      <c r="J68" s="5"/>
      <c r="K68" s="5"/>
      <c r="L68" s="5"/>
      <c r="M68" s="5"/>
    </row>
    <row r="69" spans="3:13">
      <c r="C69" s="5"/>
      <c r="I69" s="5"/>
      <c r="J69" s="5"/>
      <c r="K69" s="5"/>
      <c r="L69" s="5"/>
      <c r="M69" s="5"/>
    </row>
    <row r="70" spans="3:13">
      <c r="C70" s="5"/>
      <c r="I70" s="5"/>
      <c r="J70" s="5"/>
      <c r="K70" s="5"/>
      <c r="L70" s="5"/>
      <c r="M70" s="5"/>
    </row>
    <row r="71" spans="3:13">
      <c r="C71" s="5"/>
      <c r="I71" s="5"/>
      <c r="J71" s="5"/>
      <c r="K71" s="5"/>
      <c r="L71" s="5"/>
      <c r="M71" s="5"/>
    </row>
    <row r="72" spans="3:13">
      <c r="C72" s="5"/>
      <c r="I72" s="5"/>
      <c r="J72" s="5"/>
      <c r="K72" s="5"/>
      <c r="L72" s="5"/>
      <c r="M72" s="5"/>
    </row>
    <row r="73" spans="3:13">
      <c r="C73" s="5"/>
      <c r="I73" s="5"/>
      <c r="J73" s="5"/>
      <c r="K73" s="5"/>
      <c r="L73" s="5"/>
      <c r="M73" s="5"/>
    </row>
  </sheetData>
  <mergeCells count="7">
    <mergeCell ref="L2:L3"/>
    <mergeCell ref="M2:M3"/>
    <mergeCell ref="A2:A3"/>
    <mergeCell ref="C2:C3"/>
    <mergeCell ref="E2:E3"/>
    <mergeCell ref="F2:F3"/>
    <mergeCell ref="G2:K2"/>
  </mergeCells>
  <pageMargins left="0.7" right="0.7" top="0.75" bottom="0.75" header="0.3" footer="0.3"/>
  <pageSetup paperSize="9" scale="19" fitToHeight="0"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6699"/>
    <pageSetUpPr fitToPage="1"/>
  </sheetPr>
  <dimension ref="A1:S65"/>
  <sheetViews>
    <sheetView tabSelected="1" zoomScale="70" zoomScaleNormal="70" workbookViewId="0">
      <pane xSplit="5" ySplit="2" topLeftCell="P3" activePane="bottomRight" state="frozen"/>
      <selection pane="topRight" activeCell="F1" sqref="F1"/>
      <selection pane="bottomLeft" activeCell="A4" sqref="A4"/>
      <selection pane="bottomRight" activeCell="Q5" sqref="Q5"/>
    </sheetView>
  </sheetViews>
  <sheetFormatPr defaultColWidth="9.109375" defaultRowHeight="24"/>
  <cols>
    <col min="1" max="1" width="4.88671875" style="7" customWidth="1"/>
    <col min="2" max="2" width="9.5546875" style="135" bestFit="1" customWidth="1"/>
    <col min="3" max="3" width="18.33203125" style="7" bestFit="1" customWidth="1"/>
    <col min="4" max="4" width="43" style="6" bestFit="1" customWidth="1"/>
    <col min="5" max="5" width="58.5546875" style="5" bestFit="1" customWidth="1"/>
    <col min="6" max="6" width="18.109375" style="7" customWidth="1"/>
    <col min="7" max="7" width="12.44140625" style="5" bestFit="1" customWidth="1"/>
    <col min="8" max="8" width="20.109375" style="5" customWidth="1"/>
    <col min="9" max="9" width="18" style="5" customWidth="1"/>
    <col min="10" max="10" width="13.44140625" style="8" customWidth="1"/>
    <col min="11" max="11" width="14" style="8" customWidth="1"/>
    <col min="12" max="12" width="19.109375" style="8" bestFit="1" customWidth="1"/>
    <col min="13" max="13" width="19" style="9" bestFit="1" customWidth="1"/>
    <col min="14" max="14" width="38.33203125" style="8" bestFit="1" customWidth="1"/>
    <col min="15" max="15" width="41.88671875" style="5" bestFit="1" customWidth="1"/>
    <col min="16" max="16" width="15.33203125" style="5" bestFit="1" customWidth="1"/>
    <col min="17" max="17" width="89.6640625" style="5" bestFit="1" customWidth="1"/>
    <col min="18" max="18" width="34.77734375" style="5" customWidth="1"/>
    <col min="19" max="19" width="26.44140625" style="5" customWidth="1"/>
    <col min="20" max="16384" width="9.109375" style="5"/>
  </cols>
  <sheetData>
    <row r="1" spans="1:19" ht="27">
      <c r="A1" s="478" t="s">
        <v>768</v>
      </c>
      <c r="B1" s="478"/>
      <c r="C1" s="478"/>
      <c r="D1" s="478"/>
      <c r="E1" s="478"/>
      <c r="F1" s="478"/>
      <c r="G1" s="478"/>
      <c r="H1" s="478"/>
      <c r="I1" s="478"/>
      <c r="J1" s="478"/>
      <c r="K1" s="478"/>
      <c r="L1" s="478"/>
      <c r="M1" s="478"/>
      <c r="N1" s="479"/>
      <c r="O1" s="479"/>
      <c r="P1" s="479"/>
      <c r="Q1" s="479"/>
      <c r="R1" s="479"/>
      <c r="S1" s="83"/>
    </row>
    <row r="2" spans="1:19" s="52" customFormat="1" ht="48">
      <c r="A2" s="125" t="s">
        <v>0</v>
      </c>
      <c r="B2" s="126" t="s">
        <v>769</v>
      </c>
      <c r="C2" s="80" t="s">
        <v>770</v>
      </c>
      <c r="D2" s="80" t="s">
        <v>771</v>
      </c>
      <c r="E2" s="80" t="s">
        <v>2</v>
      </c>
      <c r="F2" s="80" t="s">
        <v>4</v>
      </c>
      <c r="G2" s="395" t="s">
        <v>6</v>
      </c>
      <c r="H2" s="395"/>
      <c r="I2" s="395"/>
      <c r="J2" s="395"/>
      <c r="K2" s="395"/>
      <c r="L2" s="395"/>
      <c r="M2" s="480" t="s">
        <v>11</v>
      </c>
      <c r="N2" s="480" t="s">
        <v>500</v>
      </c>
      <c r="O2" s="83" t="s">
        <v>652</v>
      </c>
      <c r="P2" s="83" t="s">
        <v>537</v>
      </c>
      <c r="Q2" s="83" t="s">
        <v>544</v>
      </c>
      <c r="R2" s="83" t="s">
        <v>653</v>
      </c>
      <c r="S2" s="83" t="s">
        <v>545</v>
      </c>
    </row>
    <row r="3" spans="1:19" s="131" customFormat="1" ht="77.25" customHeight="1">
      <c r="A3" s="125"/>
      <c r="B3" s="126"/>
      <c r="C3" s="80"/>
      <c r="D3" s="80"/>
      <c r="E3" s="80"/>
      <c r="F3" s="127" t="s">
        <v>721</v>
      </c>
      <c r="G3" s="94" t="s">
        <v>849</v>
      </c>
      <c r="H3" s="481" t="s">
        <v>847</v>
      </c>
      <c r="I3" s="481" t="s">
        <v>848</v>
      </c>
      <c r="J3" s="94" t="s">
        <v>833</v>
      </c>
      <c r="K3" s="482" t="s">
        <v>68</v>
      </c>
      <c r="L3" s="94" t="s">
        <v>6</v>
      </c>
      <c r="M3" s="480"/>
      <c r="N3" s="480"/>
      <c r="O3" s="83"/>
      <c r="P3" s="83"/>
      <c r="Q3" s="83"/>
      <c r="R3" s="83"/>
      <c r="S3" s="83"/>
    </row>
    <row r="4" spans="1:19" s="131" customFormat="1" ht="51" customHeight="1">
      <c r="A4" s="127">
        <v>1</v>
      </c>
      <c r="B4" s="128">
        <v>641080</v>
      </c>
      <c r="C4" s="129" t="s">
        <v>772</v>
      </c>
      <c r="D4" s="130" t="s">
        <v>773</v>
      </c>
      <c r="E4" s="145" t="s">
        <v>656</v>
      </c>
      <c r="F4" s="127" t="s">
        <v>721</v>
      </c>
      <c r="G4" s="483">
        <f>L4/2</f>
        <v>50000</v>
      </c>
      <c r="H4" s="484"/>
      <c r="I4" s="484">
        <v>50000</v>
      </c>
      <c r="J4" s="484"/>
      <c r="K4" s="485">
        <f>G4+H4+I4+J4-L4</f>
        <v>0</v>
      </c>
      <c r="L4" s="137">
        <v>100000</v>
      </c>
      <c r="M4" s="124" t="str">
        <f t="shared" ref="M4:M35" si="0">IF(K4=0,"ปิดทุน",IF(K4&lt;0,"ยังไม่ปิดทุน","เกินทุน"))</f>
        <v>ปิดทุน</v>
      </c>
      <c r="N4" s="136"/>
      <c r="O4" s="486">
        <v>242723</v>
      </c>
      <c r="P4" s="136"/>
      <c r="Q4" s="136" t="s">
        <v>867</v>
      </c>
      <c r="R4" s="136"/>
      <c r="S4" s="136"/>
    </row>
    <row r="5" spans="1:19" s="131" customFormat="1" ht="70.2">
      <c r="A5" s="127">
        <v>2</v>
      </c>
      <c r="B5" s="128">
        <v>642061</v>
      </c>
      <c r="C5" s="129" t="s">
        <v>774</v>
      </c>
      <c r="D5" s="130" t="s">
        <v>775</v>
      </c>
      <c r="E5" s="145" t="s">
        <v>776</v>
      </c>
      <c r="F5" s="127" t="s">
        <v>721</v>
      </c>
      <c r="G5" s="483">
        <f t="shared" ref="G5:G35" si="1">L5/2</f>
        <v>50000</v>
      </c>
      <c r="H5" s="484"/>
      <c r="I5" s="484">
        <v>50000</v>
      </c>
      <c r="J5" s="484"/>
      <c r="K5" s="485">
        <f t="shared" ref="K5:K35" si="2">G5+H5+I5+J5-L5</f>
        <v>0</v>
      </c>
      <c r="L5" s="137">
        <v>100000</v>
      </c>
      <c r="M5" s="124" t="str">
        <f t="shared" si="0"/>
        <v>ปิดทุน</v>
      </c>
      <c r="N5" s="136"/>
      <c r="O5" s="486">
        <v>242598</v>
      </c>
      <c r="P5" s="136"/>
      <c r="Q5" s="136" t="s">
        <v>851</v>
      </c>
      <c r="R5" s="136" t="s">
        <v>739</v>
      </c>
      <c r="S5" s="136"/>
    </row>
    <row r="6" spans="1:19" s="131" customFormat="1" ht="93.6">
      <c r="A6" s="127">
        <v>3</v>
      </c>
      <c r="B6" s="128">
        <v>642072</v>
      </c>
      <c r="C6" s="129" t="s">
        <v>774</v>
      </c>
      <c r="D6" s="130" t="s">
        <v>777</v>
      </c>
      <c r="E6" s="145" t="s">
        <v>778</v>
      </c>
      <c r="F6" s="127" t="s">
        <v>721</v>
      </c>
      <c r="G6" s="483">
        <f t="shared" si="1"/>
        <v>50000</v>
      </c>
      <c r="H6" s="484"/>
      <c r="I6" s="484">
        <v>50000</v>
      </c>
      <c r="J6" s="484"/>
      <c r="K6" s="485">
        <f t="shared" si="2"/>
        <v>0</v>
      </c>
      <c r="L6" s="137">
        <v>100000</v>
      </c>
      <c r="M6" s="124" t="str">
        <f t="shared" si="0"/>
        <v>ปิดทุน</v>
      </c>
      <c r="N6" s="487"/>
      <c r="O6" s="487"/>
      <c r="P6" s="136"/>
      <c r="Q6" s="136"/>
      <c r="R6" s="136" t="s">
        <v>739</v>
      </c>
      <c r="S6" s="136" t="s">
        <v>841</v>
      </c>
    </row>
    <row r="7" spans="1:19" s="205" customFormat="1" ht="117">
      <c r="A7" s="200">
        <v>4</v>
      </c>
      <c r="B7" s="201">
        <v>642075</v>
      </c>
      <c r="C7" s="202" t="s">
        <v>774</v>
      </c>
      <c r="D7" s="203" t="s">
        <v>779</v>
      </c>
      <c r="E7" s="488" t="s">
        <v>780</v>
      </c>
      <c r="F7" s="200" t="s">
        <v>721</v>
      </c>
      <c r="G7" s="489">
        <f t="shared" si="1"/>
        <v>50000</v>
      </c>
      <c r="H7" s="490"/>
      <c r="I7" s="490"/>
      <c r="J7" s="490"/>
      <c r="K7" s="491">
        <f t="shared" si="2"/>
        <v>-50000</v>
      </c>
      <c r="L7" s="492">
        <v>100000</v>
      </c>
      <c r="M7" s="207" t="str">
        <f t="shared" si="0"/>
        <v>ยังไม่ปิดทุน</v>
      </c>
      <c r="N7" s="493" t="s">
        <v>1161</v>
      </c>
      <c r="O7" s="493"/>
      <c r="P7" s="493"/>
      <c r="Q7" s="493"/>
      <c r="R7" s="493"/>
      <c r="S7" s="493"/>
    </row>
    <row r="8" spans="1:19" s="205" customFormat="1" ht="117">
      <c r="A8" s="200">
        <v>5</v>
      </c>
      <c r="B8" s="201">
        <v>642077</v>
      </c>
      <c r="C8" s="202" t="s">
        <v>774</v>
      </c>
      <c r="D8" s="203" t="s">
        <v>781</v>
      </c>
      <c r="E8" s="488" t="s">
        <v>782</v>
      </c>
      <c r="F8" s="200" t="s">
        <v>721</v>
      </c>
      <c r="G8" s="489">
        <f t="shared" si="1"/>
        <v>50000</v>
      </c>
      <c r="H8" s="490"/>
      <c r="I8" s="490"/>
      <c r="J8" s="490"/>
      <c r="K8" s="491">
        <f t="shared" si="2"/>
        <v>-50000</v>
      </c>
      <c r="L8" s="492">
        <v>100000</v>
      </c>
      <c r="M8" s="207" t="str">
        <f t="shared" si="0"/>
        <v>ยังไม่ปิดทุน</v>
      </c>
      <c r="N8" s="493" t="s">
        <v>1150</v>
      </c>
      <c r="O8" s="493"/>
      <c r="P8" s="493"/>
      <c r="Q8" s="493"/>
      <c r="R8" s="493"/>
      <c r="S8" s="494"/>
    </row>
    <row r="9" spans="1:19" s="131" customFormat="1" ht="120">
      <c r="A9" s="127">
        <v>6</v>
      </c>
      <c r="B9" s="128">
        <v>642073</v>
      </c>
      <c r="C9" s="129" t="s">
        <v>774</v>
      </c>
      <c r="D9" s="130" t="s">
        <v>783</v>
      </c>
      <c r="E9" s="145" t="s">
        <v>784</v>
      </c>
      <c r="F9" s="132" t="s">
        <v>722</v>
      </c>
      <c r="G9" s="483">
        <f t="shared" si="1"/>
        <v>50000</v>
      </c>
      <c r="H9" s="484"/>
      <c r="I9" s="484">
        <v>50000</v>
      </c>
      <c r="J9" s="484"/>
      <c r="K9" s="485">
        <f t="shared" si="2"/>
        <v>0</v>
      </c>
      <c r="L9" s="137">
        <v>100000</v>
      </c>
      <c r="M9" s="124" t="str">
        <f t="shared" si="0"/>
        <v>ปิดทุน</v>
      </c>
      <c r="N9" s="495" t="s">
        <v>1167</v>
      </c>
      <c r="O9" s="136" t="s">
        <v>1169</v>
      </c>
      <c r="P9" s="136"/>
      <c r="Q9" s="495" t="s">
        <v>1168</v>
      </c>
      <c r="R9" s="496" t="s">
        <v>988</v>
      </c>
      <c r="S9" s="136"/>
    </row>
    <row r="10" spans="1:19" s="131" customFormat="1" ht="70.2">
      <c r="A10" s="127">
        <v>7</v>
      </c>
      <c r="B10" s="128">
        <v>643062</v>
      </c>
      <c r="C10" s="129" t="s">
        <v>785</v>
      </c>
      <c r="D10" s="130" t="s">
        <v>786</v>
      </c>
      <c r="E10" s="145" t="s">
        <v>664</v>
      </c>
      <c r="F10" s="132" t="s">
        <v>722</v>
      </c>
      <c r="G10" s="483">
        <f t="shared" si="1"/>
        <v>50000</v>
      </c>
      <c r="H10" s="484"/>
      <c r="I10" s="484">
        <v>50000</v>
      </c>
      <c r="J10" s="484"/>
      <c r="K10" s="485">
        <f t="shared" si="2"/>
        <v>0</v>
      </c>
      <c r="L10" s="137">
        <v>100000</v>
      </c>
      <c r="M10" s="124" t="s">
        <v>503</v>
      </c>
      <c r="N10" s="136"/>
      <c r="O10" s="486"/>
      <c r="P10" s="136"/>
      <c r="Q10" s="495" t="s">
        <v>1304</v>
      </c>
      <c r="R10" s="496" t="s">
        <v>988</v>
      </c>
      <c r="S10" s="136"/>
    </row>
    <row r="11" spans="1:19" s="131" customFormat="1" ht="70.2">
      <c r="A11" s="127">
        <v>8</v>
      </c>
      <c r="B11" s="128">
        <v>643083</v>
      </c>
      <c r="C11" s="129" t="s">
        <v>785</v>
      </c>
      <c r="D11" s="130" t="s">
        <v>787</v>
      </c>
      <c r="E11" s="145" t="s">
        <v>788</v>
      </c>
      <c r="F11" s="132" t="s">
        <v>722</v>
      </c>
      <c r="G11" s="483">
        <f t="shared" si="1"/>
        <v>50000</v>
      </c>
      <c r="H11" s="484"/>
      <c r="I11" s="484">
        <v>50000</v>
      </c>
      <c r="J11" s="484"/>
      <c r="K11" s="485">
        <f t="shared" si="2"/>
        <v>0</v>
      </c>
      <c r="L11" s="137">
        <v>100000</v>
      </c>
      <c r="M11" s="124" t="s">
        <v>503</v>
      </c>
      <c r="N11" s="136"/>
      <c r="O11" s="136" t="s">
        <v>1297</v>
      </c>
      <c r="P11" s="136"/>
      <c r="Q11" s="495" t="s">
        <v>1305</v>
      </c>
      <c r="R11" s="136" t="s">
        <v>1133</v>
      </c>
      <c r="S11" s="136"/>
    </row>
    <row r="12" spans="1:19" s="131" customFormat="1" ht="120">
      <c r="A12" s="127">
        <v>9</v>
      </c>
      <c r="B12" s="128">
        <v>642067</v>
      </c>
      <c r="C12" s="129" t="s">
        <v>774</v>
      </c>
      <c r="D12" s="497" t="s">
        <v>789</v>
      </c>
      <c r="E12" s="145" t="s">
        <v>790</v>
      </c>
      <c r="F12" s="132" t="s">
        <v>722</v>
      </c>
      <c r="G12" s="483">
        <f t="shared" si="1"/>
        <v>50000</v>
      </c>
      <c r="H12" s="484"/>
      <c r="I12" s="484">
        <v>50000</v>
      </c>
      <c r="J12" s="484"/>
      <c r="K12" s="485">
        <f t="shared" si="2"/>
        <v>0</v>
      </c>
      <c r="L12" s="137">
        <v>100000</v>
      </c>
      <c r="M12" s="124" t="str">
        <f t="shared" si="0"/>
        <v>ปิดทุน</v>
      </c>
      <c r="N12" s="113" t="s">
        <v>1166</v>
      </c>
      <c r="O12" s="136" t="s">
        <v>1170</v>
      </c>
      <c r="P12" s="136"/>
      <c r="Q12" s="496" t="s">
        <v>1165</v>
      </c>
      <c r="R12" s="496" t="s">
        <v>988</v>
      </c>
      <c r="S12" s="136"/>
    </row>
    <row r="13" spans="1:19" s="131" customFormat="1" ht="70.2">
      <c r="A13" s="127">
        <v>10</v>
      </c>
      <c r="B13" s="128">
        <v>641069</v>
      </c>
      <c r="C13" s="129" t="s">
        <v>772</v>
      </c>
      <c r="D13" s="130" t="s">
        <v>791</v>
      </c>
      <c r="E13" s="145" t="s">
        <v>792</v>
      </c>
      <c r="F13" s="132" t="s">
        <v>793</v>
      </c>
      <c r="G13" s="483">
        <f t="shared" si="1"/>
        <v>50000</v>
      </c>
      <c r="H13" s="484"/>
      <c r="I13" s="484">
        <v>50000</v>
      </c>
      <c r="J13" s="484"/>
      <c r="K13" s="485">
        <f>G13+H13+I13+J13-L13</f>
        <v>0</v>
      </c>
      <c r="L13" s="137">
        <v>100000</v>
      </c>
      <c r="M13" s="124" t="str">
        <f t="shared" si="0"/>
        <v>ปิดทุน</v>
      </c>
      <c r="N13" s="136"/>
      <c r="O13" s="486" t="s">
        <v>892</v>
      </c>
      <c r="P13" s="136"/>
      <c r="Q13" s="136" t="s">
        <v>873</v>
      </c>
      <c r="R13" s="136" t="s">
        <v>871</v>
      </c>
      <c r="S13" s="136"/>
    </row>
    <row r="14" spans="1:19" s="131" customFormat="1" ht="93.6">
      <c r="A14" s="127">
        <v>11</v>
      </c>
      <c r="B14" s="128">
        <v>642053</v>
      </c>
      <c r="C14" s="145" t="s">
        <v>774</v>
      </c>
      <c r="D14" s="130" t="s">
        <v>794</v>
      </c>
      <c r="E14" s="145" t="s">
        <v>795</v>
      </c>
      <c r="F14" s="132" t="s">
        <v>793</v>
      </c>
      <c r="G14" s="483">
        <f t="shared" si="1"/>
        <v>50000</v>
      </c>
      <c r="H14" s="484"/>
      <c r="I14" s="484">
        <v>50000</v>
      </c>
      <c r="J14" s="484"/>
      <c r="K14" s="485">
        <f>G14+H14+I14+J14-L14</f>
        <v>0</v>
      </c>
      <c r="L14" s="137">
        <v>100000</v>
      </c>
      <c r="M14" s="124" t="str">
        <f t="shared" si="0"/>
        <v>ปิดทุน</v>
      </c>
      <c r="N14" s="136" t="s">
        <v>858</v>
      </c>
      <c r="O14" s="136" t="s">
        <v>891</v>
      </c>
      <c r="P14" s="136"/>
      <c r="Q14" s="495" t="s">
        <v>870</v>
      </c>
      <c r="R14" s="136" t="s">
        <v>871</v>
      </c>
      <c r="S14" s="136"/>
    </row>
    <row r="15" spans="1:19" s="131" customFormat="1" ht="93.6">
      <c r="A15" s="127">
        <v>12</v>
      </c>
      <c r="B15" s="128">
        <v>642063</v>
      </c>
      <c r="C15" s="129" t="s">
        <v>774</v>
      </c>
      <c r="D15" s="130" t="s">
        <v>796</v>
      </c>
      <c r="E15" s="145" t="s">
        <v>797</v>
      </c>
      <c r="F15" s="132" t="s">
        <v>793</v>
      </c>
      <c r="G15" s="483">
        <f t="shared" si="1"/>
        <v>50000</v>
      </c>
      <c r="H15" s="484"/>
      <c r="I15" s="484">
        <v>50000</v>
      </c>
      <c r="J15" s="484"/>
      <c r="K15" s="485">
        <f>G15+H15+I15+J15-L15</f>
        <v>0</v>
      </c>
      <c r="L15" s="137">
        <v>100000</v>
      </c>
      <c r="M15" s="124" t="s">
        <v>396</v>
      </c>
      <c r="N15" s="136" t="s">
        <v>1088</v>
      </c>
      <c r="O15" s="136"/>
      <c r="P15" s="136"/>
      <c r="Q15" s="136"/>
      <c r="R15" s="136"/>
      <c r="S15" s="136"/>
    </row>
    <row r="16" spans="1:19" s="205" customFormat="1" ht="70.2">
      <c r="A16" s="200">
        <v>13</v>
      </c>
      <c r="B16" s="201">
        <v>643058</v>
      </c>
      <c r="C16" s="202" t="s">
        <v>785</v>
      </c>
      <c r="D16" s="203" t="s">
        <v>798</v>
      </c>
      <c r="E16" s="488" t="s">
        <v>799</v>
      </c>
      <c r="F16" s="214" t="s">
        <v>793</v>
      </c>
      <c r="G16" s="489">
        <f t="shared" si="1"/>
        <v>50000</v>
      </c>
      <c r="H16" s="490"/>
      <c r="I16" s="490"/>
      <c r="J16" s="490"/>
      <c r="K16" s="491">
        <f t="shared" si="2"/>
        <v>-50000</v>
      </c>
      <c r="L16" s="492">
        <v>100000</v>
      </c>
      <c r="M16" s="207" t="str">
        <f t="shared" si="0"/>
        <v>ยังไม่ปิดทุน</v>
      </c>
      <c r="N16" s="493" t="s">
        <v>1160</v>
      </c>
      <c r="O16" s="493"/>
      <c r="P16" s="493"/>
      <c r="Q16" s="493"/>
      <c r="R16" s="493"/>
      <c r="S16" s="493"/>
    </row>
    <row r="17" spans="1:19" s="131" customFormat="1" ht="70.2">
      <c r="A17" s="127">
        <v>14</v>
      </c>
      <c r="B17" s="128">
        <v>643068</v>
      </c>
      <c r="C17" s="129" t="s">
        <v>785</v>
      </c>
      <c r="D17" s="130" t="s">
        <v>800</v>
      </c>
      <c r="E17" s="145" t="s">
        <v>801</v>
      </c>
      <c r="F17" s="132" t="s">
        <v>793</v>
      </c>
      <c r="G17" s="483">
        <f t="shared" si="1"/>
        <v>50000</v>
      </c>
      <c r="H17" s="484"/>
      <c r="I17" s="484">
        <v>50000</v>
      </c>
      <c r="J17" s="484"/>
      <c r="K17" s="485">
        <f t="shared" si="2"/>
        <v>0</v>
      </c>
      <c r="L17" s="137">
        <v>100000</v>
      </c>
      <c r="M17" s="124" t="str">
        <f t="shared" si="0"/>
        <v>ปิดทุน</v>
      </c>
      <c r="N17" s="136" t="s">
        <v>1457</v>
      </c>
      <c r="O17" s="136"/>
      <c r="P17" s="495"/>
      <c r="Q17" s="136" t="s">
        <v>1458</v>
      </c>
      <c r="R17" s="136"/>
      <c r="S17" s="136"/>
    </row>
    <row r="18" spans="1:19" s="131" customFormat="1" ht="93.6">
      <c r="A18" s="127">
        <v>15</v>
      </c>
      <c r="B18" s="128">
        <v>641057</v>
      </c>
      <c r="C18" s="129" t="s">
        <v>772</v>
      </c>
      <c r="D18" s="130" t="s">
        <v>802</v>
      </c>
      <c r="E18" s="145" t="s">
        <v>803</v>
      </c>
      <c r="F18" s="127" t="s">
        <v>723</v>
      </c>
      <c r="G18" s="483">
        <f t="shared" si="1"/>
        <v>50000</v>
      </c>
      <c r="H18" s="484"/>
      <c r="I18" s="484">
        <v>50000</v>
      </c>
      <c r="J18" s="484"/>
      <c r="K18" s="485">
        <f t="shared" si="2"/>
        <v>0</v>
      </c>
      <c r="L18" s="137">
        <v>100000</v>
      </c>
      <c r="M18" s="124" t="str">
        <f>IF(K18=0,"ปิดทุน",IF(K18&lt;0,"ยังไม่ปิดทุน","เกินทุน"))</f>
        <v>ปิดทุน</v>
      </c>
      <c r="N18" s="136" t="s">
        <v>1149</v>
      </c>
      <c r="O18" s="136" t="s">
        <v>1127</v>
      </c>
      <c r="P18" s="136"/>
      <c r="Q18" s="495" t="s">
        <v>1185</v>
      </c>
      <c r="R18" s="136" t="s">
        <v>988</v>
      </c>
      <c r="S18" s="498"/>
    </row>
    <row r="19" spans="1:19" s="205" customFormat="1" ht="70.2">
      <c r="A19" s="200">
        <v>16</v>
      </c>
      <c r="B19" s="201">
        <v>642052</v>
      </c>
      <c r="C19" s="202" t="s">
        <v>774</v>
      </c>
      <c r="D19" s="203" t="s">
        <v>804</v>
      </c>
      <c r="E19" s="488" t="s">
        <v>805</v>
      </c>
      <c r="F19" s="200" t="s">
        <v>723</v>
      </c>
      <c r="G19" s="489">
        <f t="shared" si="1"/>
        <v>50000</v>
      </c>
      <c r="H19" s="490"/>
      <c r="I19" s="490"/>
      <c r="J19" s="490"/>
      <c r="K19" s="491">
        <f t="shared" si="2"/>
        <v>-50000</v>
      </c>
      <c r="L19" s="492">
        <v>100000</v>
      </c>
      <c r="M19" s="207" t="str">
        <f t="shared" si="0"/>
        <v>ยังไม่ปิดทุน</v>
      </c>
      <c r="N19" s="493" t="s">
        <v>1150</v>
      </c>
      <c r="O19" s="493"/>
      <c r="P19" s="493"/>
      <c r="Q19" s="493"/>
      <c r="R19" s="493"/>
      <c r="S19" s="493"/>
    </row>
    <row r="20" spans="1:19" s="131" customFormat="1" ht="140.4">
      <c r="A20" s="127">
        <v>17</v>
      </c>
      <c r="B20" s="128">
        <v>643055</v>
      </c>
      <c r="C20" s="129" t="s">
        <v>785</v>
      </c>
      <c r="D20" s="130" t="s">
        <v>806</v>
      </c>
      <c r="E20" s="145" t="s">
        <v>678</v>
      </c>
      <c r="F20" s="127" t="s">
        <v>809</v>
      </c>
      <c r="G20" s="483">
        <f t="shared" si="1"/>
        <v>50000</v>
      </c>
      <c r="H20" s="484"/>
      <c r="I20" s="484">
        <v>50000</v>
      </c>
      <c r="J20" s="484"/>
      <c r="K20" s="485">
        <f t="shared" si="2"/>
        <v>0</v>
      </c>
      <c r="L20" s="137">
        <v>100000</v>
      </c>
      <c r="M20" s="124" t="str">
        <f t="shared" si="0"/>
        <v>ปิดทุน</v>
      </c>
      <c r="N20" s="136"/>
      <c r="O20" s="486"/>
      <c r="P20" s="136"/>
      <c r="Q20" s="136" t="s">
        <v>852</v>
      </c>
      <c r="R20" s="136" t="s">
        <v>853</v>
      </c>
      <c r="S20" s="136"/>
    </row>
    <row r="21" spans="1:19" s="131" customFormat="1" ht="93.6">
      <c r="A21" s="127">
        <v>18</v>
      </c>
      <c r="B21" s="128">
        <v>642056</v>
      </c>
      <c r="C21" s="129" t="s">
        <v>774</v>
      </c>
      <c r="D21" s="499" t="s">
        <v>807</v>
      </c>
      <c r="E21" s="145" t="s">
        <v>808</v>
      </c>
      <c r="F21" s="127" t="s">
        <v>809</v>
      </c>
      <c r="G21" s="483">
        <f t="shared" si="1"/>
        <v>50000</v>
      </c>
      <c r="H21" s="484">
        <v>30000</v>
      </c>
      <c r="I21" s="500">
        <v>20000</v>
      </c>
      <c r="J21" s="484"/>
      <c r="K21" s="485">
        <f t="shared" si="2"/>
        <v>0</v>
      </c>
      <c r="L21" s="137">
        <v>100000</v>
      </c>
      <c r="M21" s="124" t="str">
        <f t="shared" si="0"/>
        <v>ปิดทุน</v>
      </c>
      <c r="N21" s="136" t="s">
        <v>858</v>
      </c>
      <c r="O21" s="136"/>
      <c r="P21" s="136"/>
      <c r="Q21" s="136"/>
      <c r="R21" s="136"/>
      <c r="S21" s="136"/>
    </row>
    <row r="22" spans="1:19" s="131" customFormat="1" ht="93.6">
      <c r="A22" s="127">
        <v>19</v>
      </c>
      <c r="B22" s="128">
        <v>643051</v>
      </c>
      <c r="C22" s="129" t="s">
        <v>785</v>
      </c>
      <c r="D22" s="130" t="s">
        <v>810</v>
      </c>
      <c r="E22" s="145" t="s">
        <v>686</v>
      </c>
      <c r="F22" s="127" t="s">
        <v>809</v>
      </c>
      <c r="G22" s="483">
        <f t="shared" si="1"/>
        <v>50000</v>
      </c>
      <c r="H22" s="484"/>
      <c r="I22" s="484">
        <v>50000</v>
      </c>
      <c r="J22" s="484"/>
      <c r="K22" s="485">
        <f t="shared" si="2"/>
        <v>0</v>
      </c>
      <c r="L22" s="137">
        <v>100000</v>
      </c>
      <c r="M22" s="124" t="str">
        <f t="shared" si="0"/>
        <v>ปิดทุน</v>
      </c>
      <c r="N22" s="136"/>
      <c r="O22" s="136"/>
      <c r="P22" s="136"/>
      <c r="Q22" s="495" t="s">
        <v>862</v>
      </c>
      <c r="R22" s="136" t="s">
        <v>853</v>
      </c>
      <c r="S22" s="136"/>
    </row>
    <row r="23" spans="1:19" s="131" customFormat="1" ht="93.6">
      <c r="A23" s="127">
        <v>20</v>
      </c>
      <c r="B23" s="128">
        <v>643066</v>
      </c>
      <c r="C23" s="129" t="s">
        <v>785</v>
      </c>
      <c r="D23" s="130" t="s">
        <v>811</v>
      </c>
      <c r="E23" s="145" t="s">
        <v>684</v>
      </c>
      <c r="F23" s="127" t="s">
        <v>809</v>
      </c>
      <c r="G23" s="483">
        <f t="shared" si="1"/>
        <v>50000</v>
      </c>
      <c r="H23" s="484"/>
      <c r="I23" s="484">
        <v>50000</v>
      </c>
      <c r="J23" s="484"/>
      <c r="K23" s="485">
        <f t="shared" si="2"/>
        <v>0</v>
      </c>
      <c r="L23" s="137">
        <v>100000</v>
      </c>
      <c r="M23" s="124" t="str">
        <f t="shared" si="0"/>
        <v>ปิดทุน</v>
      </c>
      <c r="N23" s="495"/>
      <c r="O23" s="136" t="s">
        <v>893</v>
      </c>
      <c r="P23" s="136"/>
      <c r="Q23" s="495" t="s">
        <v>881</v>
      </c>
      <c r="R23" s="136" t="s">
        <v>882</v>
      </c>
      <c r="S23" s="136"/>
    </row>
    <row r="24" spans="1:19" s="131" customFormat="1" ht="93.6">
      <c r="A24" s="127">
        <v>21</v>
      </c>
      <c r="B24" s="128">
        <v>643074</v>
      </c>
      <c r="C24" s="129" t="s">
        <v>785</v>
      </c>
      <c r="D24" s="130" t="s">
        <v>812</v>
      </c>
      <c r="E24" s="145" t="s">
        <v>813</v>
      </c>
      <c r="F24" s="127" t="s">
        <v>809</v>
      </c>
      <c r="G24" s="483">
        <f t="shared" si="1"/>
        <v>50000</v>
      </c>
      <c r="H24" s="484"/>
      <c r="I24" s="484">
        <v>50000</v>
      </c>
      <c r="J24" s="484"/>
      <c r="K24" s="485">
        <f t="shared" si="2"/>
        <v>0</v>
      </c>
      <c r="L24" s="137">
        <v>100000</v>
      </c>
      <c r="M24" s="124" t="str">
        <f t="shared" si="0"/>
        <v>ปิดทุน</v>
      </c>
      <c r="N24" s="136"/>
      <c r="O24" s="136"/>
      <c r="P24" s="136"/>
      <c r="Q24" s="136" t="s">
        <v>1428</v>
      </c>
      <c r="R24" s="136" t="s">
        <v>1429</v>
      </c>
      <c r="S24" s="136"/>
    </row>
    <row r="25" spans="1:19" s="131" customFormat="1" ht="288">
      <c r="A25" s="127">
        <v>22</v>
      </c>
      <c r="B25" s="128">
        <v>642054</v>
      </c>
      <c r="C25" s="129" t="s">
        <v>774</v>
      </c>
      <c r="D25" s="130" t="s">
        <v>814</v>
      </c>
      <c r="E25" s="145" t="s">
        <v>815</v>
      </c>
      <c r="F25" s="127" t="s">
        <v>724</v>
      </c>
      <c r="G25" s="483">
        <f t="shared" si="1"/>
        <v>50000</v>
      </c>
      <c r="H25" s="484"/>
      <c r="I25" s="484">
        <v>50000</v>
      </c>
      <c r="J25" s="484"/>
      <c r="K25" s="485">
        <f t="shared" si="2"/>
        <v>0</v>
      </c>
      <c r="L25" s="137">
        <v>100000</v>
      </c>
      <c r="M25" s="124" t="str">
        <f t="shared" si="0"/>
        <v>ปิดทุน</v>
      </c>
      <c r="N25" s="136"/>
      <c r="O25" s="136"/>
      <c r="P25" s="136"/>
      <c r="Q25" s="136"/>
      <c r="R25" s="136" t="s">
        <v>882</v>
      </c>
      <c r="S25" s="495" t="s">
        <v>897</v>
      </c>
    </row>
    <row r="26" spans="1:19" s="205" customFormat="1" ht="93.6">
      <c r="A26" s="200">
        <v>23</v>
      </c>
      <c r="B26" s="201">
        <v>642071</v>
      </c>
      <c r="C26" s="202" t="s">
        <v>774</v>
      </c>
      <c r="D26" s="203" t="s">
        <v>816</v>
      </c>
      <c r="E26" s="488" t="s">
        <v>700</v>
      </c>
      <c r="F26" s="200" t="s">
        <v>724</v>
      </c>
      <c r="G26" s="489">
        <f t="shared" si="1"/>
        <v>50000</v>
      </c>
      <c r="H26" s="490"/>
      <c r="I26" s="490"/>
      <c r="J26" s="490"/>
      <c r="K26" s="491">
        <f t="shared" si="2"/>
        <v>-50000</v>
      </c>
      <c r="L26" s="492">
        <v>100000</v>
      </c>
      <c r="M26" s="207" t="str">
        <f t="shared" si="0"/>
        <v>ยังไม่ปิดทุน</v>
      </c>
      <c r="N26" s="493" t="s">
        <v>1162</v>
      </c>
      <c r="O26" s="501"/>
      <c r="P26" s="493"/>
      <c r="Q26" s="493"/>
      <c r="R26" s="493"/>
      <c r="S26" s="493"/>
    </row>
    <row r="27" spans="1:19" s="131" customFormat="1" ht="93.6">
      <c r="A27" s="127">
        <v>24</v>
      </c>
      <c r="B27" s="128">
        <v>641048</v>
      </c>
      <c r="C27" s="129" t="s">
        <v>772</v>
      </c>
      <c r="D27" s="130" t="s">
        <v>817</v>
      </c>
      <c r="E27" s="145" t="s">
        <v>818</v>
      </c>
      <c r="F27" s="127" t="s">
        <v>725</v>
      </c>
      <c r="G27" s="483">
        <f t="shared" si="1"/>
        <v>50000</v>
      </c>
      <c r="H27" s="484"/>
      <c r="I27" s="484">
        <v>50000</v>
      </c>
      <c r="J27" s="484"/>
      <c r="K27" s="485">
        <f t="shared" si="2"/>
        <v>0</v>
      </c>
      <c r="L27" s="137">
        <v>100000</v>
      </c>
      <c r="M27" s="124" t="str">
        <f t="shared" si="0"/>
        <v>ปิดทุน</v>
      </c>
      <c r="N27" s="136"/>
      <c r="O27" s="136"/>
      <c r="P27" s="136"/>
      <c r="Q27" s="495" t="s">
        <v>859</v>
      </c>
      <c r="R27" s="136" t="s">
        <v>860</v>
      </c>
      <c r="S27" s="136"/>
    </row>
    <row r="28" spans="1:19" s="131" customFormat="1" ht="72">
      <c r="A28" s="127">
        <v>25</v>
      </c>
      <c r="B28" s="128">
        <v>641079</v>
      </c>
      <c r="C28" s="129" t="s">
        <v>772</v>
      </c>
      <c r="D28" s="130" t="s">
        <v>819</v>
      </c>
      <c r="E28" s="145" t="s">
        <v>820</v>
      </c>
      <c r="F28" s="127" t="s">
        <v>725</v>
      </c>
      <c r="G28" s="483">
        <f t="shared" si="1"/>
        <v>50000</v>
      </c>
      <c r="H28" s="484"/>
      <c r="I28" s="484">
        <v>50000</v>
      </c>
      <c r="J28" s="484"/>
      <c r="K28" s="485">
        <f t="shared" si="2"/>
        <v>0</v>
      </c>
      <c r="L28" s="137">
        <v>100000</v>
      </c>
      <c r="M28" s="124" t="str">
        <f t="shared" si="0"/>
        <v>ปิดทุน</v>
      </c>
      <c r="N28" s="136"/>
      <c r="O28" s="136" t="s">
        <v>895</v>
      </c>
      <c r="P28" s="136"/>
      <c r="Q28" s="495" t="s">
        <v>894</v>
      </c>
      <c r="R28" s="136"/>
      <c r="S28" s="136"/>
    </row>
    <row r="29" spans="1:19" s="131" customFormat="1" ht="117">
      <c r="A29" s="127">
        <v>26</v>
      </c>
      <c r="B29" s="128">
        <v>641081</v>
      </c>
      <c r="C29" s="129" t="s">
        <v>772</v>
      </c>
      <c r="D29" s="130" t="s">
        <v>821</v>
      </c>
      <c r="E29" s="145" t="s">
        <v>822</v>
      </c>
      <c r="F29" s="127" t="s">
        <v>725</v>
      </c>
      <c r="G29" s="483">
        <f t="shared" si="1"/>
        <v>50000</v>
      </c>
      <c r="H29" s="484"/>
      <c r="I29" s="484">
        <v>50000</v>
      </c>
      <c r="J29" s="484"/>
      <c r="K29" s="485">
        <f t="shared" si="2"/>
        <v>0</v>
      </c>
      <c r="L29" s="137">
        <v>100000</v>
      </c>
      <c r="M29" s="124" t="str">
        <f t="shared" si="0"/>
        <v>ปิดทุน</v>
      </c>
      <c r="N29" s="145"/>
      <c r="O29" s="136" t="s">
        <v>996</v>
      </c>
      <c r="P29" s="136"/>
      <c r="Q29" s="495" t="s">
        <v>998</v>
      </c>
      <c r="R29" s="136" t="s">
        <v>997</v>
      </c>
      <c r="S29" s="136"/>
    </row>
    <row r="30" spans="1:19" s="131" customFormat="1" ht="117">
      <c r="A30" s="127">
        <v>27</v>
      </c>
      <c r="B30" s="128">
        <v>642046</v>
      </c>
      <c r="C30" s="129" t="s">
        <v>774</v>
      </c>
      <c r="D30" s="130" t="s">
        <v>823</v>
      </c>
      <c r="E30" s="145" t="s">
        <v>716</v>
      </c>
      <c r="F30" s="127" t="s">
        <v>725</v>
      </c>
      <c r="G30" s="483">
        <f t="shared" si="1"/>
        <v>50000</v>
      </c>
      <c r="H30" s="484">
        <f>L27:L65*30/100</f>
        <v>30000</v>
      </c>
      <c r="I30" s="484"/>
      <c r="J30" s="484">
        <v>20000</v>
      </c>
      <c r="K30" s="485">
        <f t="shared" si="2"/>
        <v>0</v>
      </c>
      <c r="L30" s="137">
        <v>100000</v>
      </c>
      <c r="M30" s="124" t="str">
        <f t="shared" si="0"/>
        <v>ปิดทุน</v>
      </c>
      <c r="N30" s="495" t="s">
        <v>856</v>
      </c>
      <c r="O30" s="136" t="s">
        <v>896</v>
      </c>
      <c r="P30" s="136"/>
      <c r="Q30" s="136" t="s">
        <v>875</v>
      </c>
      <c r="R30" s="136" t="s">
        <v>876</v>
      </c>
      <c r="S30" s="136"/>
    </row>
    <row r="31" spans="1:19" s="131" customFormat="1" ht="96">
      <c r="A31" s="127">
        <v>28</v>
      </c>
      <c r="B31" s="128">
        <v>642060</v>
      </c>
      <c r="C31" s="129" t="s">
        <v>774</v>
      </c>
      <c r="D31" s="130" t="s">
        <v>824</v>
      </c>
      <c r="E31" s="145" t="s">
        <v>825</v>
      </c>
      <c r="F31" s="127" t="s">
        <v>725</v>
      </c>
      <c r="G31" s="483">
        <f t="shared" si="1"/>
        <v>50000</v>
      </c>
      <c r="H31" s="484">
        <v>50000</v>
      </c>
      <c r="I31" s="484"/>
      <c r="J31" s="484"/>
      <c r="K31" s="485">
        <f t="shared" si="2"/>
        <v>0</v>
      </c>
      <c r="L31" s="137">
        <v>100000</v>
      </c>
      <c r="M31" s="124" t="str">
        <f t="shared" si="0"/>
        <v>ปิดทุน</v>
      </c>
      <c r="N31" s="136"/>
      <c r="O31" s="136"/>
      <c r="P31" s="136"/>
      <c r="Q31" s="495" t="s">
        <v>865</v>
      </c>
      <c r="R31" s="495"/>
      <c r="S31" s="136"/>
    </row>
    <row r="32" spans="1:19" s="131" customFormat="1" ht="117">
      <c r="A32" s="127">
        <v>29</v>
      </c>
      <c r="B32" s="128">
        <v>642064</v>
      </c>
      <c r="C32" s="129" t="s">
        <v>774</v>
      </c>
      <c r="D32" s="130" t="s">
        <v>826</v>
      </c>
      <c r="E32" s="145" t="s">
        <v>714</v>
      </c>
      <c r="F32" s="127" t="s">
        <v>725</v>
      </c>
      <c r="G32" s="483">
        <f t="shared" si="1"/>
        <v>50000</v>
      </c>
      <c r="H32" s="484">
        <v>30000</v>
      </c>
      <c r="I32" s="484">
        <v>20000</v>
      </c>
      <c r="J32" s="484"/>
      <c r="K32" s="485">
        <f t="shared" si="2"/>
        <v>0</v>
      </c>
      <c r="L32" s="137">
        <v>100000</v>
      </c>
      <c r="M32" s="124" t="str">
        <f t="shared" si="0"/>
        <v>ปิดทุน</v>
      </c>
      <c r="N32" s="495" t="s">
        <v>1089</v>
      </c>
      <c r="O32" s="486"/>
      <c r="P32" s="136"/>
      <c r="Q32" s="136"/>
      <c r="R32" s="136"/>
      <c r="S32" s="136"/>
    </row>
    <row r="33" spans="1:19" s="131" customFormat="1" ht="93.6">
      <c r="A33" s="127">
        <v>30</v>
      </c>
      <c r="B33" s="128">
        <v>642065</v>
      </c>
      <c r="C33" s="129" t="s">
        <v>774</v>
      </c>
      <c r="D33" s="130" t="s">
        <v>827</v>
      </c>
      <c r="E33" s="145" t="s">
        <v>828</v>
      </c>
      <c r="F33" s="127" t="s">
        <v>725</v>
      </c>
      <c r="G33" s="483">
        <f t="shared" si="1"/>
        <v>50000</v>
      </c>
      <c r="H33" s="484"/>
      <c r="I33" s="484">
        <v>50000</v>
      </c>
      <c r="J33" s="484"/>
      <c r="K33" s="485">
        <f t="shared" si="2"/>
        <v>0</v>
      </c>
      <c r="L33" s="137">
        <v>100000</v>
      </c>
      <c r="M33" s="124" t="str">
        <f t="shared" si="0"/>
        <v>ปิดทุน</v>
      </c>
      <c r="N33" s="495" t="s">
        <v>857</v>
      </c>
      <c r="O33" s="136"/>
      <c r="P33" s="136"/>
      <c r="Q33" s="136" t="s">
        <v>898</v>
      </c>
      <c r="R33" s="136" t="s">
        <v>876</v>
      </c>
      <c r="S33" s="136"/>
    </row>
    <row r="34" spans="1:19" s="131" customFormat="1" ht="93.6">
      <c r="A34" s="127">
        <v>31</v>
      </c>
      <c r="B34" s="128">
        <v>642078</v>
      </c>
      <c r="C34" s="129" t="s">
        <v>774</v>
      </c>
      <c r="D34" s="130" t="s">
        <v>829</v>
      </c>
      <c r="E34" s="145" t="s">
        <v>830</v>
      </c>
      <c r="F34" s="127" t="s">
        <v>725</v>
      </c>
      <c r="G34" s="483">
        <f t="shared" si="1"/>
        <v>50000</v>
      </c>
      <c r="H34" s="484">
        <v>50000</v>
      </c>
      <c r="I34" s="484"/>
      <c r="J34" s="484"/>
      <c r="K34" s="485">
        <f t="shared" si="2"/>
        <v>0</v>
      </c>
      <c r="L34" s="137">
        <v>100000</v>
      </c>
      <c r="M34" s="124" t="str">
        <f t="shared" si="0"/>
        <v>ปิดทุน</v>
      </c>
      <c r="N34" s="136" t="s">
        <v>1024</v>
      </c>
      <c r="O34" s="136" t="s">
        <v>1025</v>
      </c>
      <c r="P34" s="136"/>
      <c r="Q34" s="136" t="s">
        <v>1024</v>
      </c>
      <c r="R34" s="495"/>
      <c r="S34" s="136"/>
    </row>
    <row r="35" spans="1:19" ht="140.4">
      <c r="A35" s="127">
        <v>32</v>
      </c>
      <c r="B35" s="128">
        <v>641050</v>
      </c>
      <c r="C35" s="129" t="s">
        <v>772</v>
      </c>
      <c r="D35" s="130" t="s">
        <v>831</v>
      </c>
      <c r="E35" s="145" t="s">
        <v>832</v>
      </c>
      <c r="F35" s="127" t="s">
        <v>516</v>
      </c>
      <c r="G35" s="483">
        <f t="shared" si="1"/>
        <v>40000</v>
      </c>
      <c r="H35" s="136">
        <v>40000</v>
      </c>
      <c r="I35" s="136"/>
      <c r="J35" s="136"/>
      <c r="K35" s="485">
        <f t="shared" si="2"/>
        <v>0</v>
      </c>
      <c r="L35" s="137">
        <v>80000</v>
      </c>
      <c r="M35" s="124" t="str">
        <f t="shared" si="0"/>
        <v>ปิดทุน</v>
      </c>
      <c r="N35" s="136"/>
      <c r="O35" s="136"/>
      <c r="P35" s="136"/>
      <c r="Q35" s="136" t="s">
        <v>869</v>
      </c>
      <c r="R35" s="136"/>
      <c r="S35" s="136"/>
    </row>
    <row r="36" spans="1:19">
      <c r="J36" s="5"/>
      <c r="K36" s="5"/>
      <c r="L36" s="5"/>
      <c r="M36" s="5"/>
      <c r="N36" s="5"/>
    </row>
    <row r="37" spans="1:19">
      <c r="J37" s="5"/>
      <c r="K37" s="5"/>
      <c r="L37" s="5"/>
      <c r="M37" s="5"/>
      <c r="N37" s="5"/>
    </row>
    <row r="38" spans="1:19">
      <c r="J38" s="5"/>
      <c r="K38" s="5"/>
      <c r="L38" s="5"/>
      <c r="M38" s="5"/>
      <c r="N38" s="5"/>
    </row>
    <row r="39" spans="1:19">
      <c r="M39" s="5"/>
      <c r="N39" s="5"/>
    </row>
    <row r="40" spans="1:19">
      <c r="M40" s="5"/>
      <c r="N40" s="5"/>
    </row>
    <row r="41" spans="1:19">
      <c r="M41" s="5"/>
      <c r="N41" s="5"/>
    </row>
    <row r="42" spans="1:19">
      <c r="M42" s="5"/>
      <c r="N42" s="5"/>
    </row>
    <row r="43" spans="1:19">
      <c r="M43" s="5"/>
      <c r="N43" s="5"/>
    </row>
    <row r="44" spans="1:19">
      <c r="M44" s="5"/>
      <c r="N44" s="5"/>
    </row>
    <row r="45" spans="1:19">
      <c r="M45" s="5"/>
      <c r="N45" s="5"/>
    </row>
    <row r="46" spans="1:19">
      <c r="M46" s="5"/>
      <c r="N46" s="5"/>
    </row>
    <row r="47" spans="1:19">
      <c r="M47" s="5"/>
      <c r="N47" s="5"/>
    </row>
    <row r="48" spans="1:19">
      <c r="M48" s="5"/>
      <c r="N48" s="5"/>
    </row>
    <row r="49" spans="10:14">
      <c r="M49" s="5"/>
      <c r="N49" s="5"/>
    </row>
    <row r="50" spans="10:14">
      <c r="M50" s="5"/>
      <c r="N50" s="5"/>
    </row>
    <row r="51" spans="10:14">
      <c r="M51" s="5"/>
      <c r="N51" s="5"/>
    </row>
    <row r="52" spans="10:14">
      <c r="M52" s="5"/>
      <c r="N52" s="5"/>
    </row>
    <row r="53" spans="10:14">
      <c r="M53" s="5"/>
      <c r="N53" s="5"/>
    </row>
    <row r="54" spans="10:14">
      <c r="J54" s="5"/>
      <c r="K54" s="5"/>
      <c r="L54" s="5"/>
      <c r="M54" s="5"/>
      <c r="N54" s="5"/>
    </row>
    <row r="55" spans="10:14">
      <c r="J55" s="5"/>
      <c r="K55" s="5"/>
      <c r="L55" s="5"/>
      <c r="M55" s="5"/>
      <c r="N55" s="5"/>
    </row>
    <row r="56" spans="10:14">
      <c r="J56" s="5"/>
      <c r="K56" s="5"/>
      <c r="L56" s="5"/>
      <c r="M56" s="5"/>
      <c r="N56" s="5"/>
    </row>
    <row r="57" spans="10:14">
      <c r="J57" s="5"/>
      <c r="K57" s="5"/>
      <c r="L57" s="5"/>
      <c r="M57" s="5"/>
      <c r="N57" s="5"/>
    </row>
    <row r="58" spans="10:14">
      <c r="J58" s="5"/>
      <c r="K58" s="5"/>
      <c r="L58" s="5"/>
      <c r="M58" s="5"/>
      <c r="N58" s="5"/>
    </row>
    <row r="59" spans="10:14">
      <c r="J59" s="5"/>
      <c r="K59" s="5"/>
      <c r="L59" s="5"/>
      <c r="M59" s="5"/>
      <c r="N59" s="5"/>
    </row>
    <row r="60" spans="10:14">
      <c r="J60" s="5"/>
      <c r="K60" s="5"/>
      <c r="L60" s="5"/>
      <c r="M60" s="5"/>
      <c r="N60" s="5"/>
    </row>
    <row r="61" spans="10:14">
      <c r="J61" s="5"/>
      <c r="K61" s="5"/>
      <c r="L61" s="5"/>
      <c r="M61" s="5"/>
      <c r="N61" s="5"/>
    </row>
    <row r="62" spans="10:14">
      <c r="J62" s="5"/>
      <c r="K62" s="5"/>
      <c r="L62" s="5"/>
      <c r="M62" s="5"/>
      <c r="N62" s="5"/>
    </row>
    <row r="63" spans="10:14">
      <c r="J63" s="5"/>
      <c r="K63" s="5"/>
      <c r="L63" s="5"/>
      <c r="M63" s="5"/>
      <c r="N63" s="5"/>
    </row>
    <row r="64" spans="10:14">
      <c r="J64" s="5"/>
      <c r="K64" s="5"/>
      <c r="L64" s="5"/>
      <c r="M64" s="5"/>
      <c r="N64" s="5"/>
    </row>
    <row r="65" spans="10:14">
      <c r="J65" s="5"/>
      <c r="K65" s="5"/>
      <c r="L65" s="5"/>
      <c r="M65" s="5"/>
      <c r="N65" s="5"/>
    </row>
  </sheetData>
  <mergeCells count="4">
    <mergeCell ref="A1:M1"/>
    <mergeCell ref="G2:L2"/>
    <mergeCell ref="M2:M3"/>
    <mergeCell ref="N2:N3"/>
  </mergeCells>
  <hyperlinks>
    <hyperlink ref="I21" r:id="rId1" display="C:\Users\DO\Desktop\Scan\เอกสารปิดทุนวิจัยคณะ\วท009-2565 เกษรารัตน์.pdf" xr:uid="{31AE1521-62E8-4BF8-94B8-FB352FC73DF7}"/>
  </hyperlinks>
  <pageMargins left="0.51181102362204722" right="0" top="0.39370078740157483" bottom="0" header="0" footer="0"/>
  <pageSetup scale="13" fitToHeight="0" orientation="portrait" r:id="rId2"/>
  <headerFooter>
    <oddFooter>&amp;C&amp;"TH SarabunPSK,Regular"&amp;16
&amp;P</oddFoot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0412-F035-4F73-9802-78575A02F2CC}">
  <sheetPr>
    <tabColor rgb="FFFF6699"/>
  </sheetPr>
  <dimension ref="A1:T64"/>
  <sheetViews>
    <sheetView zoomScale="70" zoomScaleNormal="70" workbookViewId="0">
      <selection activeCell="D3" sqref="D3"/>
    </sheetView>
  </sheetViews>
  <sheetFormatPr defaultRowHeight="24"/>
  <cols>
    <col min="1" max="1" width="7.109375" bestFit="1" customWidth="1"/>
    <col min="2" max="2" width="11.77734375" bestFit="1" customWidth="1"/>
    <col min="3" max="3" width="54.21875" bestFit="1" customWidth="1"/>
    <col min="4" max="4" width="46.5546875" bestFit="1" customWidth="1"/>
    <col min="5" max="5" width="10.5546875" bestFit="1" customWidth="1"/>
    <col min="6" max="6" width="34.44140625" bestFit="1" customWidth="1"/>
    <col min="7" max="7" width="34.88671875" bestFit="1" customWidth="1"/>
    <col min="8" max="8" width="12.5546875" style="5" bestFit="1" customWidth="1"/>
    <col min="9" max="9" width="19.21875" style="5" bestFit="1" customWidth="1"/>
    <col min="10" max="10" width="14.88671875" style="5" bestFit="1" customWidth="1"/>
    <col min="11" max="11" width="10.33203125" style="8" bestFit="1" customWidth="1"/>
    <col min="12" max="12" width="10.44140625" style="8" bestFit="1" customWidth="1"/>
    <col min="13" max="13" width="18.6640625" style="8" bestFit="1" customWidth="1"/>
    <col min="14" max="14" width="15.6640625" style="146" bestFit="1" customWidth="1"/>
    <col min="15" max="15" width="187.5546875" style="8" bestFit="1" customWidth="1"/>
    <col min="16" max="16" width="27.21875" style="5" bestFit="1" customWidth="1"/>
    <col min="17" max="17" width="48.88671875" style="5" bestFit="1" customWidth="1"/>
    <col min="18" max="18" width="144.44140625" style="5" bestFit="1" customWidth="1"/>
    <col min="19" max="19" width="32" style="5" customWidth="1"/>
    <col min="20" max="20" width="129.6640625" style="5" bestFit="1" customWidth="1"/>
  </cols>
  <sheetData>
    <row r="1" spans="1:20" ht="27">
      <c r="A1" s="429" t="s">
        <v>900</v>
      </c>
      <c r="B1" s="429"/>
      <c r="C1" s="429"/>
      <c r="D1" s="429"/>
      <c r="E1" s="429"/>
      <c r="F1" s="429"/>
      <c r="G1" s="429"/>
      <c r="H1" s="429"/>
      <c r="I1" s="429"/>
      <c r="J1" s="429"/>
      <c r="K1" s="429"/>
      <c r="L1" s="429"/>
      <c r="M1" s="429"/>
      <c r="N1" s="429"/>
      <c r="O1" s="429"/>
      <c r="P1" s="429"/>
      <c r="Q1" s="429"/>
      <c r="R1" s="429"/>
      <c r="S1" s="429"/>
      <c r="T1" s="429"/>
    </row>
    <row r="2" spans="1:20">
      <c r="A2" s="343" t="s">
        <v>0</v>
      </c>
      <c r="B2" s="343" t="s">
        <v>901</v>
      </c>
      <c r="C2" s="344" t="s">
        <v>771</v>
      </c>
      <c r="D2" s="343" t="s">
        <v>770</v>
      </c>
      <c r="E2" s="343"/>
      <c r="F2" s="345" t="s">
        <v>902</v>
      </c>
      <c r="G2" s="344" t="s">
        <v>4</v>
      </c>
      <c r="H2" s="427" t="s">
        <v>6</v>
      </c>
      <c r="I2" s="427"/>
      <c r="J2" s="427"/>
      <c r="K2" s="427"/>
      <c r="L2" s="427"/>
      <c r="M2" s="427"/>
      <c r="N2" s="428" t="s">
        <v>11</v>
      </c>
      <c r="O2" s="428" t="s">
        <v>500</v>
      </c>
      <c r="P2" s="343" t="s">
        <v>652</v>
      </c>
      <c r="Q2" s="343" t="s">
        <v>537</v>
      </c>
      <c r="R2" s="343" t="s">
        <v>544</v>
      </c>
      <c r="S2" s="343" t="s">
        <v>653</v>
      </c>
      <c r="T2" s="343" t="s">
        <v>545</v>
      </c>
    </row>
    <row r="3" spans="1:20" ht="96">
      <c r="A3" s="343"/>
      <c r="B3" s="343"/>
      <c r="C3" s="344"/>
      <c r="D3" s="343"/>
      <c r="E3" s="343"/>
      <c r="F3" s="345"/>
      <c r="G3" s="344"/>
      <c r="H3" s="345" t="s">
        <v>849</v>
      </c>
      <c r="I3" s="346" t="s">
        <v>847</v>
      </c>
      <c r="J3" s="346" t="s">
        <v>848</v>
      </c>
      <c r="K3" s="345" t="s">
        <v>833</v>
      </c>
      <c r="L3" s="347" t="s">
        <v>68</v>
      </c>
      <c r="M3" s="345" t="s">
        <v>6</v>
      </c>
      <c r="N3" s="428"/>
      <c r="O3" s="428"/>
      <c r="P3" s="343"/>
      <c r="Q3" s="343"/>
      <c r="R3" s="343"/>
      <c r="S3" s="343"/>
      <c r="T3" s="343"/>
    </row>
    <row r="4" spans="1:20" ht="72">
      <c r="A4" s="343">
        <v>1</v>
      </c>
      <c r="B4" s="343">
        <v>651104</v>
      </c>
      <c r="C4" s="348" t="s">
        <v>903</v>
      </c>
      <c r="D4" s="343" t="s">
        <v>904</v>
      </c>
      <c r="E4" s="343" t="s">
        <v>13</v>
      </c>
      <c r="F4" s="349" t="s">
        <v>905</v>
      </c>
      <c r="G4" s="344" t="s">
        <v>530</v>
      </c>
      <c r="H4" s="350">
        <f>M4/2</f>
        <v>30000</v>
      </c>
      <c r="I4" s="351"/>
      <c r="J4" s="351">
        <v>30000</v>
      </c>
      <c r="K4" s="351"/>
      <c r="L4" s="352">
        <f t="shared" ref="L4:L34" si="0">H4+I4+J4+K4-M4</f>
        <v>0</v>
      </c>
      <c r="M4" s="353">
        <v>60000</v>
      </c>
      <c r="N4" s="343" t="str">
        <f t="shared" ref="N4:N34" si="1">IF(L4=0,"ปิดทุน",IF(L4&lt;0,"ยังไม่ปิดทุน","เกินทุน"))</f>
        <v>ปิดทุน</v>
      </c>
      <c r="O4" s="354"/>
      <c r="P4" s="355"/>
      <c r="Q4" s="354"/>
      <c r="R4" s="356" t="s">
        <v>981</v>
      </c>
      <c r="S4" s="354" t="s">
        <v>739</v>
      </c>
      <c r="T4" s="354"/>
    </row>
    <row r="5" spans="1:20">
      <c r="A5" s="343">
        <v>2</v>
      </c>
      <c r="B5" s="343">
        <v>65109</v>
      </c>
      <c r="C5" s="348" t="s">
        <v>906</v>
      </c>
      <c r="D5" s="343" t="s">
        <v>904</v>
      </c>
      <c r="E5" s="343" t="s">
        <v>907</v>
      </c>
      <c r="F5" s="349" t="s">
        <v>908</v>
      </c>
      <c r="G5" s="344" t="s">
        <v>530</v>
      </c>
      <c r="H5" s="350">
        <f t="shared" ref="H5:H34" si="2">M5/2</f>
        <v>30000</v>
      </c>
      <c r="I5" s="351"/>
      <c r="J5" s="351">
        <v>30000</v>
      </c>
      <c r="K5" s="351"/>
      <c r="L5" s="352">
        <f t="shared" si="0"/>
        <v>0</v>
      </c>
      <c r="M5" s="353">
        <v>60000</v>
      </c>
      <c r="N5" s="343" t="str">
        <f t="shared" si="1"/>
        <v>ปิดทุน</v>
      </c>
      <c r="O5" s="357" t="s">
        <v>1134</v>
      </c>
      <c r="P5" s="357" t="s">
        <v>1135</v>
      </c>
      <c r="Q5" s="354"/>
      <c r="R5" s="354" t="s">
        <v>1124</v>
      </c>
      <c r="S5" s="354" t="s">
        <v>1125</v>
      </c>
      <c r="T5" s="354"/>
    </row>
    <row r="6" spans="1:20" ht="48">
      <c r="A6" s="343">
        <v>3</v>
      </c>
      <c r="B6" s="343">
        <v>652087</v>
      </c>
      <c r="C6" s="348" t="s">
        <v>909</v>
      </c>
      <c r="D6" s="343" t="s">
        <v>910</v>
      </c>
      <c r="E6" s="343" t="s">
        <v>13</v>
      </c>
      <c r="F6" s="349" t="s">
        <v>911</v>
      </c>
      <c r="G6" s="344" t="s">
        <v>530</v>
      </c>
      <c r="H6" s="350">
        <f t="shared" si="2"/>
        <v>30000</v>
      </c>
      <c r="I6" s="351"/>
      <c r="J6" s="351">
        <v>30000</v>
      </c>
      <c r="K6" s="351"/>
      <c r="L6" s="352">
        <f t="shared" si="0"/>
        <v>0</v>
      </c>
      <c r="M6" s="353">
        <v>60000</v>
      </c>
      <c r="N6" s="343" t="str">
        <f t="shared" si="1"/>
        <v>ปิดทุน</v>
      </c>
      <c r="O6" s="354"/>
      <c r="P6" s="354"/>
      <c r="Q6" s="354"/>
      <c r="R6" s="356" t="s">
        <v>978</v>
      </c>
      <c r="S6" s="354" t="s">
        <v>739</v>
      </c>
      <c r="T6" s="354"/>
    </row>
    <row r="7" spans="1:20">
      <c r="A7" s="343">
        <v>4</v>
      </c>
      <c r="B7" s="343">
        <v>652101</v>
      </c>
      <c r="C7" s="348" t="s">
        <v>912</v>
      </c>
      <c r="D7" s="343" t="s">
        <v>910</v>
      </c>
      <c r="E7" s="343" t="s">
        <v>9</v>
      </c>
      <c r="F7" s="349" t="s">
        <v>913</v>
      </c>
      <c r="G7" s="344" t="s">
        <v>530</v>
      </c>
      <c r="H7" s="350">
        <f t="shared" si="2"/>
        <v>30000</v>
      </c>
      <c r="I7" s="351"/>
      <c r="J7" s="351">
        <v>30000</v>
      </c>
      <c r="K7" s="351"/>
      <c r="L7" s="352">
        <f t="shared" si="0"/>
        <v>0</v>
      </c>
      <c r="M7" s="353">
        <v>60000</v>
      </c>
      <c r="N7" s="343" t="str">
        <f t="shared" si="1"/>
        <v>ปิดทุน</v>
      </c>
      <c r="O7" s="354"/>
      <c r="P7" s="354"/>
      <c r="Q7" s="354"/>
      <c r="R7" s="354" t="s">
        <v>984</v>
      </c>
      <c r="S7" s="354"/>
      <c r="T7" s="356"/>
    </row>
    <row r="8" spans="1:20" ht="48">
      <c r="A8" s="343">
        <v>5</v>
      </c>
      <c r="B8" s="343">
        <v>652110</v>
      </c>
      <c r="C8" s="348" t="s">
        <v>914</v>
      </c>
      <c r="D8" s="343" t="s">
        <v>910</v>
      </c>
      <c r="E8" s="343" t="s">
        <v>13</v>
      </c>
      <c r="F8" s="349" t="s">
        <v>915</v>
      </c>
      <c r="G8" s="344" t="s">
        <v>530</v>
      </c>
      <c r="H8" s="350">
        <f t="shared" si="2"/>
        <v>30000</v>
      </c>
      <c r="I8" s="351"/>
      <c r="J8" s="351">
        <v>30000</v>
      </c>
      <c r="K8" s="351"/>
      <c r="L8" s="352">
        <f t="shared" si="0"/>
        <v>0</v>
      </c>
      <c r="M8" s="353">
        <v>60000</v>
      </c>
      <c r="N8" s="343" t="str">
        <f t="shared" si="1"/>
        <v>ปิดทุน</v>
      </c>
      <c r="O8" s="354" t="s">
        <v>1104</v>
      </c>
      <c r="P8" s="354" t="s">
        <v>1105</v>
      </c>
      <c r="Q8" s="354"/>
      <c r="R8" s="354" t="s">
        <v>1103</v>
      </c>
      <c r="S8" s="354"/>
      <c r="T8" s="354"/>
    </row>
    <row r="9" spans="1:20" ht="48">
      <c r="A9" s="343">
        <v>6</v>
      </c>
      <c r="B9" s="343">
        <v>651111</v>
      </c>
      <c r="C9" s="348" t="s">
        <v>916</v>
      </c>
      <c r="D9" s="343" t="s">
        <v>904</v>
      </c>
      <c r="E9" s="343" t="s">
        <v>329</v>
      </c>
      <c r="F9" s="349" t="s">
        <v>917</v>
      </c>
      <c r="G9" s="344" t="s">
        <v>528</v>
      </c>
      <c r="H9" s="350">
        <f t="shared" si="2"/>
        <v>35000</v>
      </c>
      <c r="I9" s="351"/>
      <c r="J9" s="351">
        <v>35000</v>
      </c>
      <c r="K9" s="351"/>
      <c r="L9" s="352">
        <f t="shared" si="0"/>
        <v>0</v>
      </c>
      <c r="M9" s="353">
        <v>70000</v>
      </c>
      <c r="N9" s="343" t="str">
        <f t="shared" si="1"/>
        <v>ปิดทุน</v>
      </c>
      <c r="O9" s="354" t="s">
        <v>1090</v>
      </c>
      <c r="P9" s="356"/>
      <c r="Q9" s="354"/>
      <c r="R9" s="354" t="s">
        <v>1039</v>
      </c>
      <c r="S9" s="354"/>
      <c r="T9" s="354"/>
    </row>
    <row r="10" spans="1:20" ht="48">
      <c r="A10" s="343">
        <v>7</v>
      </c>
      <c r="B10" s="343">
        <v>652092</v>
      </c>
      <c r="C10" s="348" t="s">
        <v>918</v>
      </c>
      <c r="D10" s="343" t="s">
        <v>910</v>
      </c>
      <c r="E10" s="343" t="s">
        <v>329</v>
      </c>
      <c r="F10" s="349" t="s">
        <v>919</v>
      </c>
      <c r="G10" s="344" t="s">
        <v>528</v>
      </c>
      <c r="H10" s="350">
        <f t="shared" si="2"/>
        <v>35000</v>
      </c>
      <c r="I10" s="351">
        <v>21000</v>
      </c>
      <c r="J10" s="351">
        <v>14000</v>
      </c>
      <c r="K10" s="351"/>
      <c r="L10" s="352">
        <f t="shared" si="0"/>
        <v>0</v>
      </c>
      <c r="M10" s="353">
        <v>70000</v>
      </c>
      <c r="N10" s="343" t="str">
        <f t="shared" si="1"/>
        <v>ปิดทุน</v>
      </c>
      <c r="O10" s="354"/>
      <c r="P10" s="354"/>
      <c r="Q10" s="354"/>
      <c r="R10" s="354" t="s">
        <v>1292</v>
      </c>
      <c r="S10" s="354"/>
      <c r="T10" s="354"/>
    </row>
    <row r="11" spans="1:20" ht="48">
      <c r="A11" s="343">
        <v>8</v>
      </c>
      <c r="B11" s="343">
        <v>65107</v>
      </c>
      <c r="C11" s="348" t="s">
        <v>920</v>
      </c>
      <c r="D11" s="343" t="s">
        <v>921</v>
      </c>
      <c r="E11" s="343" t="s">
        <v>13</v>
      </c>
      <c r="F11" s="349" t="s">
        <v>922</v>
      </c>
      <c r="G11" s="344" t="s">
        <v>528</v>
      </c>
      <c r="H11" s="350">
        <f t="shared" si="2"/>
        <v>35000</v>
      </c>
      <c r="I11" s="351"/>
      <c r="J11" s="351">
        <v>35000</v>
      </c>
      <c r="K11" s="351"/>
      <c r="L11" s="352">
        <f t="shared" si="0"/>
        <v>0</v>
      </c>
      <c r="M11" s="353">
        <v>70000</v>
      </c>
      <c r="N11" s="343" t="str">
        <f t="shared" si="1"/>
        <v>ปิดทุน</v>
      </c>
      <c r="O11" s="344"/>
      <c r="P11" s="354"/>
      <c r="Q11" s="354"/>
      <c r="R11" s="358" t="s">
        <v>1288</v>
      </c>
      <c r="S11" s="358" t="s">
        <v>1289</v>
      </c>
      <c r="T11" s="354"/>
    </row>
    <row r="12" spans="1:20" ht="48">
      <c r="A12" s="343">
        <v>9</v>
      </c>
      <c r="B12" s="343">
        <v>653119</v>
      </c>
      <c r="C12" s="348" t="s">
        <v>923</v>
      </c>
      <c r="D12" s="343" t="s">
        <v>921</v>
      </c>
      <c r="E12" s="343" t="s">
        <v>13</v>
      </c>
      <c r="F12" s="349" t="s">
        <v>924</v>
      </c>
      <c r="G12" s="344" t="s">
        <v>528</v>
      </c>
      <c r="H12" s="350">
        <f t="shared" si="2"/>
        <v>35000</v>
      </c>
      <c r="I12" s="351"/>
      <c r="J12" s="351">
        <v>35000</v>
      </c>
      <c r="K12" s="351"/>
      <c r="L12" s="352">
        <f>H12+I12+J12+K12-M12</f>
        <v>0</v>
      </c>
      <c r="M12" s="353">
        <v>70000</v>
      </c>
      <c r="N12" s="343" t="str">
        <f t="shared" si="1"/>
        <v>ปิดทุน</v>
      </c>
      <c r="O12" s="354" t="s">
        <v>1018</v>
      </c>
      <c r="P12" s="355"/>
      <c r="Q12" s="354"/>
      <c r="R12" s="354" t="s">
        <v>1014</v>
      </c>
      <c r="S12" s="354" t="s">
        <v>1015</v>
      </c>
      <c r="T12" s="354"/>
    </row>
    <row r="13" spans="1:20" s="154" customFormat="1">
      <c r="A13" s="359">
        <v>10</v>
      </c>
      <c r="B13" s="359">
        <v>654108</v>
      </c>
      <c r="C13" s="360" t="s">
        <v>925</v>
      </c>
      <c r="D13" s="359" t="s">
        <v>926</v>
      </c>
      <c r="E13" s="359" t="s">
        <v>13</v>
      </c>
      <c r="F13" s="361" t="s">
        <v>922</v>
      </c>
      <c r="G13" s="362" t="s">
        <v>528</v>
      </c>
      <c r="H13" s="363">
        <f t="shared" si="2"/>
        <v>50000</v>
      </c>
      <c r="I13" s="364"/>
      <c r="J13" s="364"/>
      <c r="K13" s="364"/>
      <c r="L13" s="365">
        <f>H13+I13+J13+K13-M13</f>
        <v>-50000</v>
      </c>
      <c r="M13" s="366">
        <v>100000</v>
      </c>
      <c r="N13" s="359" t="str">
        <f t="shared" si="1"/>
        <v>ยังไม่ปิดทุน</v>
      </c>
      <c r="O13" s="367"/>
      <c r="P13" s="367"/>
      <c r="Q13" s="367"/>
      <c r="R13" s="368"/>
      <c r="S13" s="367"/>
      <c r="T13" s="367"/>
    </row>
    <row r="14" spans="1:20">
      <c r="A14" s="343">
        <v>11</v>
      </c>
      <c r="B14" s="343">
        <v>654114</v>
      </c>
      <c r="C14" s="348" t="s">
        <v>927</v>
      </c>
      <c r="D14" s="343" t="s">
        <v>926</v>
      </c>
      <c r="E14" s="343" t="s">
        <v>9</v>
      </c>
      <c r="F14" s="349" t="s">
        <v>928</v>
      </c>
      <c r="G14" s="344" t="s">
        <v>528</v>
      </c>
      <c r="H14" s="350">
        <f t="shared" si="2"/>
        <v>50000</v>
      </c>
      <c r="I14" s="351"/>
      <c r="J14" s="351">
        <v>50000</v>
      </c>
      <c r="K14" s="351"/>
      <c r="L14" s="352">
        <f>H14+I14+J14+K14-M14</f>
        <v>0</v>
      </c>
      <c r="M14" s="353">
        <v>100000</v>
      </c>
      <c r="N14" s="343" t="s">
        <v>503</v>
      </c>
      <c r="O14" s="354" t="s">
        <v>1434</v>
      </c>
      <c r="P14" s="354" t="s">
        <v>1435</v>
      </c>
      <c r="Q14" s="354"/>
      <c r="R14" s="354" t="s">
        <v>1436</v>
      </c>
      <c r="S14" s="354"/>
      <c r="T14" s="354"/>
    </row>
    <row r="15" spans="1:20" ht="48">
      <c r="A15" s="343">
        <v>12</v>
      </c>
      <c r="B15" s="343">
        <v>652105</v>
      </c>
      <c r="C15" s="348" t="s">
        <v>929</v>
      </c>
      <c r="D15" s="343" t="s">
        <v>904</v>
      </c>
      <c r="E15" s="343" t="s">
        <v>907</v>
      </c>
      <c r="F15" s="349" t="s">
        <v>930</v>
      </c>
      <c r="G15" s="344" t="s">
        <v>532</v>
      </c>
      <c r="H15" s="350">
        <f t="shared" si="2"/>
        <v>35000</v>
      </c>
      <c r="I15" s="351"/>
      <c r="J15" s="351">
        <v>35000</v>
      </c>
      <c r="K15" s="351"/>
      <c r="L15" s="352">
        <f t="shared" si="0"/>
        <v>0</v>
      </c>
      <c r="M15" s="353">
        <v>70000</v>
      </c>
      <c r="N15" s="343" t="str">
        <f t="shared" si="1"/>
        <v>ปิดทุน</v>
      </c>
      <c r="O15" s="354"/>
      <c r="P15" s="354"/>
      <c r="Q15" s="354"/>
      <c r="R15" s="356" t="s">
        <v>1291</v>
      </c>
      <c r="S15" s="356" t="s">
        <v>988</v>
      </c>
      <c r="T15" s="354"/>
    </row>
    <row r="16" spans="1:20" s="262" customFormat="1" ht="48">
      <c r="A16" s="369">
        <v>13</v>
      </c>
      <c r="B16" s="369">
        <v>652121</v>
      </c>
      <c r="C16" s="370" t="s">
        <v>931</v>
      </c>
      <c r="D16" s="369" t="s">
        <v>910</v>
      </c>
      <c r="E16" s="369" t="s">
        <v>13</v>
      </c>
      <c r="F16" s="371" t="s">
        <v>932</v>
      </c>
      <c r="G16" s="372" t="s">
        <v>532</v>
      </c>
      <c r="H16" s="373">
        <f t="shared" si="2"/>
        <v>35000</v>
      </c>
      <c r="I16" s="374"/>
      <c r="J16" s="374"/>
      <c r="K16" s="374"/>
      <c r="L16" s="375">
        <f t="shared" si="0"/>
        <v>-35000</v>
      </c>
      <c r="M16" s="376">
        <v>70000</v>
      </c>
      <c r="N16" s="369" t="str">
        <f t="shared" si="1"/>
        <v>ยังไม่ปิดทุน</v>
      </c>
      <c r="O16" s="377" t="s">
        <v>1189</v>
      </c>
      <c r="P16" s="377"/>
      <c r="Q16" s="378"/>
      <c r="R16" s="378"/>
      <c r="S16" s="378" t="s">
        <v>1014</v>
      </c>
      <c r="T16" s="377"/>
    </row>
    <row r="17" spans="1:20" s="188" customFormat="1">
      <c r="A17" s="379">
        <v>14</v>
      </c>
      <c r="B17" s="379">
        <v>652122</v>
      </c>
      <c r="C17" s="380" t="s">
        <v>933</v>
      </c>
      <c r="D17" s="379" t="s">
        <v>910</v>
      </c>
      <c r="E17" s="379" t="s">
        <v>9</v>
      </c>
      <c r="F17" s="381" t="s">
        <v>934</v>
      </c>
      <c r="G17" s="382" t="s">
        <v>532</v>
      </c>
      <c r="H17" s="383">
        <f t="shared" si="2"/>
        <v>35000</v>
      </c>
      <c r="I17" s="384"/>
      <c r="J17" s="384"/>
      <c r="K17" s="384"/>
      <c r="L17" s="385">
        <f t="shared" si="0"/>
        <v>-35000</v>
      </c>
      <c r="M17" s="386">
        <v>70000</v>
      </c>
      <c r="N17" s="379" t="str">
        <f>IF(L17=0,"ปิดทุน",IF(L17&lt;0,"ยังไม่ปิดทุน","เกินทุน"))</f>
        <v>ยังไม่ปิดทุน</v>
      </c>
      <c r="O17" s="387" t="s">
        <v>1128</v>
      </c>
      <c r="P17" s="387"/>
      <c r="Q17" s="387"/>
      <c r="R17" s="388"/>
      <c r="S17" s="388" t="s">
        <v>1290</v>
      </c>
      <c r="T17" s="389"/>
    </row>
    <row r="18" spans="1:20" ht="48">
      <c r="A18" s="343">
        <v>15</v>
      </c>
      <c r="B18" s="343">
        <v>653090</v>
      </c>
      <c r="C18" s="348" t="s">
        <v>935</v>
      </c>
      <c r="D18" s="343" t="s">
        <v>921</v>
      </c>
      <c r="E18" s="343" t="s">
        <v>9</v>
      </c>
      <c r="F18" s="349" t="s">
        <v>936</v>
      </c>
      <c r="G18" s="344" t="s">
        <v>532</v>
      </c>
      <c r="H18" s="350">
        <f t="shared" si="2"/>
        <v>35000</v>
      </c>
      <c r="I18" s="351"/>
      <c r="J18" s="351">
        <v>35000</v>
      </c>
      <c r="K18" s="351"/>
      <c r="L18" s="352">
        <f t="shared" si="0"/>
        <v>0</v>
      </c>
      <c r="M18" s="353">
        <v>70000</v>
      </c>
      <c r="N18" s="343" t="str">
        <f t="shared" si="1"/>
        <v>ปิดทุน</v>
      </c>
      <c r="O18" s="354"/>
      <c r="P18" s="354"/>
      <c r="Q18" s="354"/>
      <c r="R18" s="356" t="s">
        <v>977</v>
      </c>
      <c r="S18" s="354"/>
      <c r="T18" s="354"/>
    </row>
    <row r="19" spans="1:20" ht="48">
      <c r="A19" s="343">
        <v>16</v>
      </c>
      <c r="B19" s="343">
        <v>653102</v>
      </c>
      <c r="C19" s="348" t="s">
        <v>937</v>
      </c>
      <c r="D19" s="343" t="s">
        <v>921</v>
      </c>
      <c r="E19" s="343" t="s">
        <v>13</v>
      </c>
      <c r="F19" s="349" t="s">
        <v>938</v>
      </c>
      <c r="G19" s="344" t="s">
        <v>532</v>
      </c>
      <c r="H19" s="350">
        <f t="shared" si="2"/>
        <v>35000</v>
      </c>
      <c r="I19" s="351"/>
      <c r="J19" s="351">
        <v>35000</v>
      </c>
      <c r="K19" s="351"/>
      <c r="L19" s="352">
        <f t="shared" si="0"/>
        <v>0</v>
      </c>
      <c r="M19" s="353">
        <v>70000</v>
      </c>
      <c r="N19" s="343" t="str">
        <f t="shared" si="1"/>
        <v>ปิดทุน</v>
      </c>
      <c r="O19" s="354"/>
      <c r="P19" s="355"/>
      <c r="Q19" s="354"/>
      <c r="R19" s="356" t="s">
        <v>989</v>
      </c>
      <c r="S19" s="354" t="s">
        <v>988</v>
      </c>
      <c r="T19" s="354"/>
    </row>
    <row r="20" spans="1:20" ht="48">
      <c r="A20" s="343">
        <v>17</v>
      </c>
      <c r="B20" s="343">
        <v>651096</v>
      </c>
      <c r="C20" s="348" t="s">
        <v>939</v>
      </c>
      <c r="D20" s="343" t="s">
        <v>904</v>
      </c>
      <c r="E20" s="343" t="s">
        <v>9</v>
      </c>
      <c r="F20" s="349" t="s">
        <v>940</v>
      </c>
      <c r="G20" s="344" t="s">
        <v>532</v>
      </c>
      <c r="H20" s="350">
        <f t="shared" si="2"/>
        <v>35000</v>
      </c>
      <c r="I20" s="351"/>
      <c r="J20" s="390">
        <v>35000</v>
      </c>
      <c r="K20" s="351"/>
      <c r="L20" s="352">
        <f t="shared" si="0"/>
        <v>0</v>
      </c>
      <c r="M20" s="353">
        <v>70000</v>
      </c>
      <c r="N20" s="343" t="str">
        <f t="shared" si="1"/>
        <v>ปิดทุน</v>
      </c>
      <c r="O20" s="354"/>
      <c r="P20" s="354"/>
      <c r="Q20" s="354"/>
      <c r="R20" s="354" t="s">
        <v>1037</v>
      </c>
      <c r="S20" s="354" t="s">
        <v>988</v>
      </c>
      <c r="T20" s="354"/>
    </row>
    <row r="21" spans="1:20" ht="72">
      <c r="A21" s="343">
        <v>18</v>
      </c>
      <c r="B21" s="343">
        <v>653095</v>
      </c>
      <c r="C21" s="348" t="s">
        <v>941</v>
      </c>
      <c r="D21" s="343" t="s">
        <v>921</v>
      </c>
      <c r="E21" s="343" t="s">
        <v>1181</v>
      </c>
      <c r="F21" s="349" t="s">
        <v>942</v>
      </c>
      <c r="G21" s="344" t="s">
        <v>517</v>
      </c>
      <c r="H21" s="350">
        <f t="shared" si="2"/>
        <v>35000</v>
      </c>
      <c r="I21" s="351"/>
      <c r="J21" s="351">
        <v>35000</v>
      </c>
      <c r="K21" s="351"/>
      <c r="L21" s="352">
        <f t="shared" si="0"/>
        <v>0</v>
      </c>
      <c r="M21" s="353">
        <v>70000</v>
      </c>
      <c r="N21" s="343" t="str">
        <f t="shared" si="1"/>
        <v>ปิดทุน</v>
      </c>
      <c r="O21" s="354" t="s">
        <v>1183</v>
      </c>
      <c r="P21" s="354" t="s">
        <v>1126</v>
      </c>
      <c r="Q21" s="354"/>
      <c r="R21" s="356" t="s">
        <v>1182</v>
      </c>
      <c r="S21" s="354"/>
      <c r="T21" s="354"/>
    </row>
    <row r="22" spans="1:20" ht="48">
      <c r="A22" s="343">
        <v>19</v>
      </c>
      <c r="B22" s="343">
        <v>653099</v>
      </c>
      <c r="C22" s="348" t="s">
        <v>943</v>
      </c>
      <c r="D22" s="343" t="s">
        <v>921</v>
      </c>
      <c r="E22" s="343" t="s">
        <v>9</v>
      </c>
      <c r="F22" s="349" t="s">
        <v>944</v>
      </c>
      <c r="G22" s="344" t="s">
        <v>517</v>
      </c>
      <c r="H22" s="350">
        <f t="shared" si="2"/>
        <v>35000</v>
      </c>
      <c r="I22" s="351"/>
      <c r="J22" s="351">
        <v>35000</v>
      </c>
      <c r="K22" s="351"/>
      <c r="L22" s="352">
        <f t="shared" si="0"/>
        <v>0</v>
      </c>
      <c r="M22" s="353">
        <v>70000</v>
      </c>
      <c r="N22" s="343" t="str">
        <f t="shared" si="1"/>
        <v>ปิดทุน</v>
      </c>
      <c r="O22" s="356" t="s">
        <v>1478</v>
      </c>
      <c r="P22" s="354"/>
      <c r="Q22" s="354"/>
      <c r="R22" s="356" t="s">
        <v>1479</v>
      </c>
      <c r="S22" s="354" t="s">
        <v>1000</v>
      </c>
      <c r="T22" s="354"/>
    </row>
    <row r="23" spans="1:20" ht="48">
      <c r="A23" s="343">
        <v>20</v>
      </c>
      <c r="B23" s="343">
        <v>652093</v>
      </c>
      <c r="C23" s="348" t="s">
        <v>945</v>
      </c>
      <c r="D23" s="343" t="s">
        <v>910</v>
      </c>
      <c r="E23" s="343" t="s">
        <v>13</v>
      </c>
      <c r="F23" s="349" t="s">
        <v>946</v>
      </c>
      <c r="G23" s="344" t="s">
        <v>531</v>
      </c>
      <c r="H23" s="350">
        <f t="shared" si="2"/>
        <v>35000</v>
      </c>
      <c r="I23" s="351">
        <v>21000</v>
      </c>
      <c r="J23" s="351">
        <v>14000</v>
      </c>
      <c r="K23" s="351"/>
      <c r="L23" s="352">
        <f t="shared" si="0"/>
        <v>0</v>
      </c>
      <c r="M23" s="353">
        <v>70000</v>
      </c>
      <c r="N23" s="343" t="str">
        <f t="shared" si="1"/>
        <v>ปิดทุน</v>
      </c>
      <c r="O23" s="354" t="s">
        <v>1021</v>
      </c>
      <c r="P23" s="356"/>
      <c r="Q23" s="354"/>
      <c r="R23" s="391"/>
      <c r="S23" s="354"/>
      <c r="T23" s="354"/>
    </row>
    <row r="24" spans="1:20" ht="48">
      <c r="A24" s="343">
        <v>21</v>
      </c>
      <c r="B24" s="343">
        <v>652116</v>
      </c>
      <c r="C24" s="348" t="s">
        <v>947</v>
      </c>
      <c r="D24" s="343" t="s">
        <v>910</v>
      </c>
      <c r="E24" s="343" t="s">
        <v>13</v>
      </c>
      <c r="F24" s="349" t="s">
        <v>948</v>
      </c>
      <c r="G24" s="344" t="s">
        <v>531</v>
      </c>
      <c r="H24" s="350">
        <f t="shared" si="2"/>
        <v>35000</v>
      </c>
      <c r="I24" s="351"/>
      <c r="J24" s="351">
        <v>35000</v>
      </c>
      <c r="K24" s="351"/>
      <c r="L24" s="352">
        <f t="shared" si="0"/>
        <v>0</v>
      </c>
      <c r="M24" s="353">
        <v>70000</v>
      </c>
      <c r="N24" s="343" t="str">
        <f t="shared" si="1"/>
        <v>ปิดทุน</v>
      </c>
      <c r="O24" s="351" t="s">
        <v>1013</v>
      </c>
      <c r="P24" s="354"/>
      <c r="Q24" s="354"/>
      <c r="R24" s="354" t="s">
        <v>1011</v>
      </c>
      <c r="S24" s="354" t="s">
        <v>988</v>
      </c>
      <c r="T24" s="356"/>
    </row>
    <row r="25" spans="1:20" ht="72">
      <c r="A25" s="343">
        <v>22</v>
      </c>
      <c r="B25" s="343">
        <v>652117</v>
      </c>
      <c r="C25" s="348" t="s">
        <v>949</v>
      </c>
      <c r="D25" s="343" t="s">
        <v>910</v>
      </c>
      <c r="E25" s="343" t="s">
        <v>9</v>
      </c>
      <c r="F25" s="349" t="s">
        <v>950</v>
      </c>
      <c r="G25" s="344" t="s">
        <v>531</v>
      </c>
      <c r="H25" s="350">
        <f t="shared" si="2"/>
        <v>35000</v>
      </c>
      <c r="I25" s="351"/>
      <c r="J25" s="351">
        <v>35000</v>
      </c>
      <c r="K25" s="351"/>
      <c r="L25" s="352">
        <f t="shared" si="0"/>
        <v>0</v>
      </c>
      <c r="M25" s="353">
        <v>70000</v>
      </c>
      <c r="N25" s="343" t="str">
        <f t="shared" si="1"/>
        <v>ปิดทุน</v>
      </c>
      <c r="O25" s="354" t="s">
        <v>1188</v>
      </c>
      <c r="P25" s="355"/>
      <c r="Q25" s="354"/>
      <c r="R25" s="356" t="s">
        <v>1186</v>
      </c>
      <c r="S25" s="354" t="s">
        <v>988</v>
      </c>
      <c r="T25" s="354"/>
    </row>
    <row r="26" spans="1:20" ht="48">
      <c r="A26" s="343">
        <v>23</v>
      </c>
      <c r="B26" s="343">
        <v>652120</v>
      </c>
      <c r="C26" s="348" t="s">
        <v>951</v>
      </c>
      <c r="D26" s="343" t="s">
        <v>910</v>
      </c>
      <c r="E26" s="343" t="s">
        <v>9</v>
      </c>
      <c r="F26" s="349" t="s">
        <v>952</v>
      </c>
      <c r="G26" s="344" t="s">
        <v>531</v>
      </c>
      <c r="H26" s="350">
        <f t="shared" si="2"/>
        <v>35000</v>
      </c>
      <c r="I26" s="351"/>
      <c r="J26" s="351">
        <v>35000</v>
      </c>
      <c r="K26" s="351"/>
      <c r="L26" s="352">
        <f t="shared" si="0"/>
        <v>0</v>
      </c>
      <c r="M26" s="353">
        <v>70000</v>
      </c>
      <c r="N26" s="343" t="str">
        <f t="shared" si="1"/>
        <v>ปิดทุน</v>
      </c>
      <c r="O26" s="354"/>
      <c r="P26" s="354"/>
      <c r="Q26" s="354"/>
      <c r="R26" s="356" t="s">
        <v>1038</v>
      </c>
      <c r="S26" s="354" t="s">
        <v>988</v>
      </c>
      <c r="T26" s="354"/>
    </row>
    <row r="27" spans="1:20" ht="72">
      <c r="A27" s="343">
        <v>24</v>
      </c>
      <c r="B27" s="343">
        <v>653098</v>
      </c>
      <c r="C27" s="348" t="s">
        <v>953</v>
      </c>
      <c r="D27" s="343" t="s">
        <v>921</v>
      </c>
      <c r="E27" s="343" t="s">
        <v>9</v>
      </c>
      <c r="F27" s="349" t="s">
        <v>954</v>
      </c>
      <c r="G27" s="344" t="s">
        <v>531</v>
      </c>
      <c r="H27" s="350">
        <f t="shared" si="2"/>
        <v>35000</v>
      </c>
      <c r="I27" s="351">
        <v>21000</v>
      </c>
      <c r="J27" s="351"/>
      <c r="K27" s="351">
        <v>14000</v>
      </c>
      <c r="L27" s="352">
        <f t="shared" si="0"/>
        <v>0</v>
      </c>
      <c r="M27" s="353">
        <v>70000</v>
      </c>
      <c r="N27" s="343" t="str">
        <f t="shared" si="1"/>
        <v>ปิดทุน</v>
      </c>
      <c r="O27" s="354"/>
      <c r="P27" s="354"/>
      <c r="Q27" s="354" t="s">
        <v>1036</v>
      </c>
      <c r="R27" s="356" t="s">
        <v>1034</v>
      </c>
      <c r="S27" s="354" t="s">
        <v>988</v>
      </c>
      <c r="T27" s="354"/>
    </row>
    <row r="28" spans="1:20" ht="72">
      <c r="A28" s="343">
        <v>25</v>
      </c>
      <c r="B28" s="343">
        <v>651091</v>
      </c>
      <c r="C28" s="348" t="s">
        <v>955</v>
      </c>
      <c r="D28" s="343" t="s">
        <v>904</v>
      </c>
      <c r="E28" s="343" t="s">
        <v>9</v>
      </c>
      <c r="F28" s="349" t="s">
        <v>956</v>
      </c>
      <c r="G28" s="344" t="s">
        <v>529</v>
      </c>
      <c r="H28" s="350">
        <f t="shared" si="2"/>
        <v>30000</v>
      </c>
      <c r="I28" s="351">
        <v>30000</v>
      </c>
      <c r="J28" s="351"/>
      <c r="K28" s="351"/>
      <c r="L28" s="352">
        <f t="shared" si="0"/>
        <v>0</v>
      </c>
      <c r="M28" s="353">
        <v>60000</v>
      </c>
      <c r="N28" s="343" t="str">
        <f t="shared" si="1"/>
        <v>ปิดทุน</v>
      </c>
      <c r="O28" s="354"/>
      <c r="P28" s="354"/>
      <c r="Q28" s="354"/>
      <c r="R28" s="356" t="s">
        <v>979</v>
      </c>
      <c r="S28" s="354"/>
      <c r="T28" s="354"/>
    </row>
    <row r="29" spans="1:20" ht="72">
      <c r="A29" s="343">
        <v>26</v>
      </c>
      <c r="B29" s="343">
        <v>651094</v>
      </c>
      <c r="C29" s="348" t="s">
        <v>957</v>
      </c>
      <c r="D29" s="343" t="s">
        <v>904</v>
      </c>
      <c r="E29" s="343" t="s">
        <v>58</v>
      </c>
      <c r="F29" s="349" t="s">
        <v>958</v>
      </c>
      <c r="G29" s="344" t="s">
        <v>529</v>
      </c>
      <c r="H29" s="350">
        <f t="shared" si="2"/>
        <v>30000</v>
      </c>
      <c r="I29" s="351">
        <v>30000</v>
      </c>
      <c r="J29" s="351"/>
      <c r="K29" s="351"/>
      <c r="L29" s="352">
        <f t="shared" si="0"/>
        <v>0</v>
      </c>
      <c r="M29" s="353">
        <v>60000</v>
      </c>
      <c r="N29" s="343" t="str">
        <f t="shared" si="1"/>
        <v>ปิดทุน</v>
      </c>
      <c r="O29" s="356"/>
      <c r="P29" s="354"/>
      <c r="Q29" s="354" t="s">
        <v>1085</v>
      </c>
      <c r="R29" s="354" t="s">
        <v>1032</v>
      </c>
      <c r="S29" s="354"/>
      <c r="T29" s="354" t="s">
        <v>1035</v>
      </c>
    </row>
    <row r="30" spans="1:20" ht="48">
      <c r="A30" s="343">
        <v>27</v>
      </c>
      <c r="B30" s="343">
        <v>653089</v>
      </c>
      <c r="C30" s="348" t="s">
        <v>959</v>
      </c>
      <c r="D30" s="343" t="s">
        <v>921</v>
      </c>
      <c r="E30" s="343" t="s">
        <v>9</v>
      </c>
      <c r="F30" s="349" t="s">
        <v>960</v>
      </c>
      <c r="G30" s="344" t="s">
        <v>529</v>
      </c>
      <c r="H30" s="350">
        <f t="shared" si="2"/>
        <v>30000</v>
      </c>
      <c r="I30" s="351">
        <v>18000</v>
      </c>
      <c r="J30" s="351">
        <v>12000</v>
      </c>
      <c r="K30" s="351"/>
      <c r="L30" s="352">
        <f t="shared" si="0"/>
        <v>0</v>
      </c>
      <c r="M30" s="353">
        <v>60000</v>
      </c>
      <c r="N30" s="343" t="str">
        <f t="shared" si="1"/>
        <v>ปิดทุน</v>
      </c>
      <c r="O30" s="354" t="s">
        <v>1002</v>
      </c>
      <c r="P30" s="354"/>
      <c r="Q30" s="354"/>
      <c r="R30" s="356" t="s">
        <v>980</v>
      </c>
      <c r="S30" s="356"/>
      <c r="T30" s="354"/>
    </row>
    <row r="31" spans="1:20" ht="72">
      <c r="A31" s="343">
        <v>28</v>
      </c>
      <c r="B31" s="343">
        <v>651086</v>
      </c>
      <c r="C31" s="348" t="s">
        <v>1019</v>
      </c>
      <c r="D31" s="343" t="s">
        <v>904</v>
      </c>
      <c r="E31" s="343" t="s">
        <v>9</v>
      </c>
      <c r="F31" s="349" t="s">
        <v>961</v>
      </c>
      <c r="G31" s="344" t="s">
        <v>518</v>
      </c>
      <c r="H31" s="350">
        <f t="shared" si="2"/>
        <v>30000</v>
      </c>
      <c r="I31" s="351">
        <v>30000</v>
      </c>
      <c r="J31" s="351"/>
      <c r="K31" s="351"/>
      <c r="L31" s="352">
        <f t="shared" si="0"/>
        <v>0</v>
      </c>
      <c r="M31" s="353">
        <v>60000</v>
      </c>
      <c r="N31" s="343" t="str">
        <f t="shared" si="1"/>
        <v>ปิดทุน</v>
      </c>
      <c r="O31" s="354" t="s">
        <v>1027</v>
      </c>
      <c r="P31" s="355"/>
      <c r="Q31" s="354"/>
      <c r="R31" s="354" t="s">
        <v>1026</v>
      </c>
      <c r="S31" s="354"/>
      <c r="T31" s="354"/>
    </row>
    <row r="32" spans="1:20" ht="72">
      <c r="A32" s="343">
        <v>29</v>
      </c>
      <c r="B32" s="343">
        <v>651103</v>
      </c>
      <c r="C32" s="348" t="s">
        <v>962</v>
      </c>
      <c r="D32" s="343" t="s">
        <v>904</v>
      </c>
      <c r="E32" s="343" t="s">
        <v>13</v>
      </c>
      <c r="F32" s="349" t="s">
        <v>963</v>
      </c>
      <c r="G32" s="344" t="s">
        <v>518</v>
      </c>
      <c r="H32" s="350">
        <f t="shared" si="2"/>
        <v>30000</v>
      </c>
      <c r="I32" s="351"/>
      <c r="J32" s="351">
        <v>30000</v>
      </c>
      <c r="K32" s="351"/>
      <c r="L32" s="352">
        <f t="shared" si="0"/>
        <v>0</v>
      </c>
      <c r="M32" s="353">
        <v>60000</v>
      </c>
      <c r="N32" s="343" t="str">
        <f t="shared" si="1"/>
        <v>ปิดทุน</v>
      </c>
      <c r="O32" s="356" t="s">
        <v>1012</v>
      </c>
      <c r="P32" s="354"/>
      <c r="Q32" s="354"/>
      <c r="R32" s="354" t="s">
        <v>1010</v>
      </c>
      <c r="S32" s="354" t="s">
        <v>983</v>
      </c>
      <c r="T32" s="354"/>
    </row>
    <row r="33" spans="1:20" ht="96">
      <c r="A33" s="343">
        <v>30</v>
      </c>
      <c r="B33" s="343">
        <v>652106</v>
      </c>
      <c r="C33" s="348" t="s">
        <v>964</v>
      </c>
      <c r="D33" s="343" t="s">
        <v>910</v>
      </c>
      <c r="E33" s="343" t="s">
        <v>907</v>
      </c>
      <c r="F33" s="349" t="s">
        <v>965</v>
      </c>
      <c r="G33" s="344" t="s">
        <v>518</v>
      </c>
      <c r="H33" s="350">
        <f t="shared" si="2"/>
        <v>30000</v>
      </c>
      <c r="I33" s="351"/>
      <c r="J33" s="354">
        <v>30000</v>
      </c>
      <c r="K33" s="351"/>
      <c r="L33" s="352">
        <f t="shared" si="0"/>
        <v>0</v>
      </c>
      <c r="M33" s="353">
        <v>60000</v>
      </c>
      <c r="N33" s="343" t="str">
        <f t="shared" si="1"/>
        <v>ปิดทุน</v>
      </c>
      <c r="O33" s="354"/>
      <c r="P33" s="354"/>
      <c r="Q33" s="354"/>
      <c r="R33" s="356" t="s">
        <v>982</v>
      </c>
      <c r="S33" s="354" t="s">
        <v>983</v>
      </c>
      <c r="T33" s="354"/>
    </row>
    <row r="34" spans="1:20" ht="48">
      <c r="A34" s="343">
        <v>31</v>
      </c>
      <c r="B34" s="343">
        <v>652112</v>
      </c>
      <c r="C34" s="348" t="s">
        <v>966</v>
      </c>
      <c r="D34" s="343" t="s">
        <v>910</v>
      </c>
      <c r="E34" s="343" t="s">
        <v>13</v>
      </c>
      <c r="F34" s="349" t="s">
        <v>967</v>
      </c>
      <c r="G34" s="344" t="s">
        <v>518</v>
      </c>
      <c r="H34" s="350">
        <f t="shared" si="2"/>
        <v>30000</v>
      </c>
      <c r="I34" s="354">
        <v>30000</v>
      </c>
      <c r="J34" s="354"/>
      <c r="K34" s="354"/>
      <c r="L34" s="352">
        <f t="shared" si="0"/>
        <v>0</v>
      </c>
      <c r="M34" s="353">
        <v>60000</v>
      </c>
      <c r="N34" s="343" t="str">
        <f t="shared" si="1"/>
        <v>ปิดทุน</v>
      </c>
      <c r="O34" s="392">
        <v>243238</v>
      </c>
      <c r="P34" s="354"/>
      <c r="Q34" s="354"/>
      <c r="R34" s="354"/>
      <c r="S34" s="354"/>
      <c r="T34" s="354"/>
    </row>
    <row r="35" spans="1:20" ht="48">
      <c r="A35" s="343">
        <v>32</v>
      </c>
      <c r="B35" s="343">
        <v>652115</v>
      </c>
      <c r="C35" s="348" t="s">
        <v>968</v>
      </c>
      <c r="D35" s="343" t="s">
        <v>910</v>
      </c>
      <c r="E35" s="343" t="s">
        <v>329</v>
      </c>
      <c r="F35" s="349" t="s">
        <v>969</v>
      </c>
      <c r="G35" s="344" t="s">
        <v>518</v>
      </c>
      <c r="H35" s="350">
        <f t="shared" ref="H35:H39" si="3">M35/2</f>
        <v>30000</v>
      </c>
      <c r="I35" s="354"/>
      <c r="J35" s="354">
        <v>30000</v>
      </c>
      <c r="K35" s="354"/>
      <c r="L35" s="352">
        <f t="shared" ref="L35:L39" si="4">H35+I35+J35+K35-M35</f>
        <v>0</v>
      </c>
      <c r="M35" s="353">
        <v>60000</v>
      </c>
      <c r="N35" s="343" t="s">
        <v>503</v>
      </c>
      <c r="O35" s="354"/>
      <c r="P35" s="354"/>
      <c r="Q35" s="354"/>
      <c r="R35" s="356" t="s">
        <v>1269</v>
      </c>
      <c r="S35" s="354" t="s">
        <v>988</v>
      </c>
      <c r="T35" s="354"/>
    </row>
    <row r="36" spans="1:20" ht="96">
      <c r="A36" s="343">
        <v>33</v>
      </c>
      <c r="B36" s="343">
        <v>652113</v>
      </c>
      <c r="C36" s="348" t="s">
        <v>970</v>
      </c>
      <c r="D36" s="343" t="s">
        <v>910</v>
      </c>
      <c r="E36" s="343" t="s">
        <v>329</v>
      </c>
      <c r="F36" s="349" t="s">
        <v>971</v>
      </c>
      <c r="G36" s="344" t="s">
        <v>518</v>
      </c>
      <c r="H36" s="350">
        <f t="shared" si="3"/>
        <v>30000</v>
      </c>
      <c r="I36" s="354"/>
      <c r="J36" s="354">
        <v>30000</v>
      </c>
      <c r="K36" s="354"/>
      <c r="L36" s="352">
        <f t="shared" si="4"/>
        <v>0</v>
      </c>
      <c r="M36" s="353">
        <v>60000</v>
      </c>
      <c r="N36" s="343" t="str">
        <f t="shared" ref="N36:N38" si="5">IF(L36=0,"ปิดทุน",IF(L36&lt;0,"ยังไม่ปิดทุน","เกินทุน"))</f>
        <v>ปิดทุน</v>
      </c>
      <c r="O36" s="354"/>
      <c r="P36" s="354"/>
      <c r="Q36" s="354"/>
      <c r="R36" s="356" t="s">
        <v>982</v>
      </c>
      <c r="S36" s="354" t="s">
        <v>983</v>
      </c>
      <c r="T36" s="354"/>
    </row>
    <row r="37" spans="1:20" ht="96">
      <c r="A37" s="343">
        <v>34</v>
      </c>
      <c r="B37" s="343">
        <v>651118</v>
      </c>
      <c r="C37" s="348" t="s">
        <v>972</v>
      </c>
      <c r="D37" s="343" t="s">
        <v>904</v>
      </c>
      <c r="E37" s="343" t="s">
        <v>13</v>
      </c>
      <c r="F37" s="349" t="s">
        <v>973</v>
      </c>
      <c r="G37" s="344" t="s">
        <v>518</v>
      </c>
      <c r="H37" s="350">
        <f t="shared" si="3"/>
        <v>30000</v>
      </c>
      <c r="I37" s="354"/>
      <c r="J37" s="354">
        <v>30000</v>
      </c>
      <c r="K37" s="354"/>
      <c r="L37" s="352">
        <f t="shared" si="4"/>
        <v>0</v>
      </c>
      <c r="M37" s="353">
        <v>60000</v>
      </c>
      <c r="N37" s="343" t="str">
        <f t="shared" si="5"/>
        <v>ปิดทุน</v>
      </c>
      <c r="O37" s="354"/>
      <c r="P37" s="354"/>
      <c r="Q37" s="354"/>
      <c r="R37" s="356" t="s">
        <v>985</v>
      </c>
      <c r="S37" s="354" t="s">
        <v>986</v>
      </c>
      <c r="T37" s="354"/>
    </row>
    <row r="38" spans="1:20" ht="144">
      <c r="A38" s="343">
        <v>35</v>
      </c>
      <c r="B38" s="343">
        <v>651097</v>
      </c>
      <c r="C38" s="348" t="s">
        <v>1009</v>
      </c>
      <c r="D38" s="343" t="s">
        <v>904</v>
      </c>
      <c r="E38" s="343" t="s">
        <v>58</v>
      </c>
      <c r="F38" s="349" t="s">
        <v>974</v>
      </c>
      <c r="G38" s="344" t="s">
        <v>516</v>
      </c>
      <c r="H38" s="350">
        <f t="shared" si="3"/>
        <v>30000</v>
      </c>
      <c r="I38" s="354"/>
      <c r="J38" s="354">
        <v>30000</v>
      </c>
      <c r="K38" s="354"/>
      <c r="L38" s="352">
        <f t="shared" si="4"/>
        <v>0</v>
      </c>
      <c r="M38" s="353">
        <v>60000</v>
      </c>
      <c r="N38" s="343" t="str">
        <f t="shared" si="5"/>
        <v>ปิดทุน</v>
      </c>
      <c r="O38" s="354"/>
      <c r="P38" s="354"/>
      <c r="Q38" s="354"/>
      <c r="R38" s="356" t="s">
        <v>1008</v>
      </c>
      <c r="S38" s="354"/>
      <c r="T38" s="354"/>
    </row>
    <row r="39" spans="1:20" ht="72">
      <c r="A39" s="343">
        <v>36</v>
      </c>
      <c r="B39" s="343">
        <v>653123</v>
      </c>
      <c r="C39" s="348" t="s">
        <v>975</v>
      </c>
      <c r="D39" s="343" t="s">
        <v>921</v>
      </c>
      <c r="E39" s="343" t="s">
        <v>58</v>
      </c>
      <c r="F39" s="349" t="s">
        <v>976</v>
      </c>
      <c r="G39" s="344" t="s">
        <v>516</v>
      </c>
      <c r="H39" s="350">
        <f t="shared" si="3"/>
        <v>30000</v>
      </c>
      <c r="I39" s="354"/>
      <c r="J39" s="354">
        <v>30000</v>
      </c>
      <c r="K39" s="354"/>
      <c r="L39" s="352">
        <f t="shared" si="4"/>
        <v>0</v>
      </c>
      <c r="M39" s="353">
        <v>60000</v>
      </c>
      <c r="N39" s="343" t="s">
        <v>503</v>
      </c>
      <c r="O39" s="354"/>
      <c r="P39" s="354"/>
      <c r="Q39" s="354" t="s">
        <v>1299</v>
      </c>
      <c r="R39" s="354"/>
      <c r="S39" s="354"/>
      <c r="T39" s="354"/>
    </row>
    <row r="40" spans="1:20">
      <c r="N40" s="7"/>
      <c r="O40" s="5"/>
    </row>
    <row r="41" spans="1:20">
      <c r="M41" s="8">
        <f>SUM(M4:M40)</f>
        <v>2410000</v>
      </c>
      <c r="N41" s="7"/>
      <c r="O41" s="5"/>
    </row>
    <row r="42" spans="1:20">
      <c r="N42" s="7"/>
      <c r="O42" s="5"/>
    </row>
    <row r="43" spans="1:20">
      <c r="N43" s="7"/>
      <c r="O43" s="5"/>
    </row>
    <row r="44" spans="1:20">
      <c r="N44" s="7"/>
      <c r="O44" s="5"/>
    </row>
    <row r="45" spans="1:20">
      <c r="N45" s="7"/>
      <c r="O45" s="5"/>
    </row>
    <row r="46" spans="1:20">
      <c r="N46" s="7"/>
      <c r="O46" s="5"/>
    </row>
    <row r="47" spans="1:20">
      <c r="N47" s="7"/>
      <c r="O47" s="5"/>
    </row>
    <row r="48" spans="1:20">
      <c r="N48" s="7"/>
      <c r="O48" s="5"/>
    </row>
    <row r="49" spans="11:15">
      <c r="N49" s="7"/>
      <c r="O49" s="5"/>
    </row>
    <row r="50" spans="11:15">
      <c r="N50" s="7"/>
      <c r="O50" s="5"/>
    </row>
    <row r="51" spans="11:15">
      <c r="N51" s="7"/>
      <c r="O51" s="5"/>
    </row>
    <row r="52" spans="11:15">
      <c r="N52" s="7"/>
      <c r="O52" s="5"/>
    </row>
    <row r="53" spans="11:15">
      <c r="K53" s="5"/>
      <c r="L53" s="5"/>
      <c r="M53" s="5"/>
      <c r="N53" s="7"/>
      <c r="O53" s="5"/>
    </row>
    <row r="54" spans="11:15">
      <c r="K54" s="5"/>
      <c r="L54" s="5"/>
      <c r="M54" s="5"/>
      <c r="N54" s="7"/>
      <c r="O54" s="5"/>
    </row>
    <row r="55" spans="11:15">
      <c r="K55" s="5"/>
      <c r="L55" s="5"/>
      <c r="M55" s="5"/>
      <c r="N55" s="7"/>
      <c r="O55" s="5"/>
    </row>
    <row r="56" spans="11:15">
      <c r="K56" s="5"/>
      <c r="L56" s="5"/>
      <c r="M56" s="5"/>
      <c r="N56" s="7"/>
      <c r="O56" s="5"/>
    </row>
    <row r="57" spans="11:15">
      <c r="K57" s="5"/>
      <c r="L57" s="5"/>
      <c r="M57" s="5"/>
      <c r="N57" s="7"/>
      <c r="O57" s="5"/>
    </row>
    <row r="58" spans="11:15">
      <c r="K58" s="5"/>
      <c r="L58" s="5"/>
      <c r="M58" s="5"/>
      <c r="N58" s="7"/>
      <c r="O58" s="5"/>
    </row>
    <row r="59" spans="11:15">
      <c r="K59" s="5"/>
      <c r="L59" s="5"/>
      <c r="M59" s="5"/>
      <c r="N59" s="7"/>
      <c r="O59" s="5"/>
    </row>
    <row r="60" spans="11:15">
      <c r="K60" s="5"/>
      <c r="L60" s="5"/>
      <c r="M60" s="5"/>
      <c r="N60" s="7"/>
      <c r="O60" s="5"/>
    </row>
    <row r="61" spans="11:15">
      <c r="K61" s="5"/>
      <c r="L61" s="5"/>
      <c r="M61" s="5"/>
      <c r="N61" s="7"/>
      <c r="O61" s="5"/>
    </row>
    <row r="62" spans="11:15">
      <c r="K62" s="5"/>
      <c r="L62" s="5"/>
      <c r="M62" s="5"/>
      <c r="N62" s="7"/>
      <c r="O62" s="5"/>
    </row>
    <row r="63" spans="11:15">
      <c r="K63" s="5"/>
      <c r="L63" s="5"/>
      <c r="M63" s="5"/>
      <c r="N63" s="7"/>
      <c r="O63" s="5"/>
    </row>
    <row r="64" spans="11:15">
      <c r="K64" s="5"/>
      <c r="L64" s="5"/>
      <c r="M64" s="5"/>
      <c r="N64" s="7"/>
      <c r="O64" s="5"/>
    </row>
  </sheetData>
  <mergeCells count="4">
    <mergeCell ref="H2:M2"/>
    <mergeCell ref="N2:N3"/>
    <mergeCell ref="O2:O3"/>
    <mergeCell ref="A1:T1"/>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16372-D02D-4817-85D4-A169C30F9030}">
  <sheetPr>
    <tabColor rgb="FFFF6699"/>
  </sheetPr>
  <dimension ref="A1:T39"/>
  <sheetViews>
    <sheetView topLeftCell="A18" zoomScale="70" zoomScaleNormal="70" workbookViewId="0">
      <selection sqref="A1:N1"/>
    </sheetView>
  </sheetViews>
  <sheetFormatPr defaultColWidth="9.109375" defaultRowHeight="20.399999999999999"/>
  <cols>
    <col min="1" max="1" width="11.21875" style="222" bestFit="1" customWidth="1"/>
    <col min="2" max="2" width="19" style="222" bestFit="1" customWidth="1"/>
    <col min="3" max="3" width="80.77734375" style="222" bestFit="1" customWidth="1"/>
    <col min="4" max="4" width="47.6640625" style="222" bestFit="1" customWidth="1"/>
    <col min="5" max="5" width="40.44140625" style="222" bestFit="1" customWidth="1"/>
    <col min="6" max="6" width="35.109375" style="222" customWidth="1"/>
    <col min="7" max="7" width="29.6640625" style="255" bestFit="1" customWidth="1"/>
    <col min="8" max="8" width="28.6640625" style="260" bestFit="1" customWidth="1"/>
    <col min="9" max="9" width="42.77734375" style="261" bestFit="1" customWidth="1"/>
    <col min="10" max="10" width="19.109375" style="257" bestFit="1" customWidth="1"/>
    <col min="11" max="11" width="44.21875" style="258" bestFit="1" customWidth="1"/>
    <col min="12" max="12" width="161.109375" style="258" bestFit="1" customWidth="1"/>
    <col min="13" max="13" width="31.88671875" style="256" bestFit="1" customWidth="1"/>
    <col min="14" max="14" width="26.77734375" style="258" bestFit="1" customWidth="1"/>
    <col min="15" max="16" width="75.44140625" style="222" customWidth="1"/>
    <col min="17" max="16384" width="9.109375" style="222"/>
  </cols>
  <sheetData>
    <row r="1" spans="1:16" ht="22.8">
      <c r="A1" s="430" t="s">
        <v>1081</v>
      </c>
      <c r="B1" s="430"/>
      <c r="C1" s="430"/>
      <c r="D1" s="430"/>
      <c r="E1" s="430"/>
      <c r="F1" s="430"/>
      <c r="G1" s="430"/>
      <c r="H1" s="430"/>
      <c r="I1" s="430"/>
      <c r="J1" s="430"/>
      <c r="K1" s="430"/>
      <c r="L1" s="430"/>
      <c r="M1" s="430"/>
      <c r="N1" s="430"/>
    </row>
    <row r="2" spans="1:16" ht="24" customHeight="1">
      <c r="A2" s="431" t="s">
        <v>0</v>
      </c>
      <c r="B2" s="431" t="s">
        <v>901</v>
      </c>
      <c r="C2" s="433" t="s">
        <v>771</v>
      </c>
      <c r="D2" s="431" t="s">
        <v>770</v>
      </c>
      <c r="E2" s="435" t="s">
        <v>902</v>
      </c>
      <c r="F2" s="433" t="s">
        <v>4</v>
      </c>
      <c r="G2" s="435" t="s">
        <v>6</v>
      </c>
      <c r="H2" s="437" t="s">
        <v>11</v>
      </c>
      <c r="I2" s="437" t="s">
        <v>500</v>
      </c>
      <c r="J2" s="438" t="s">
        <v>652</v>
      </c>
      <c r="K2" s="437" t="s">
        <v>537</v>
      </c>
      <c r="L2" s="437" t="s">
        <v>544</v>
      </c>
      <c r="M2" s="437" t="s">
        <v>653</v>
      </c>
      <c r="N2" s="437" t="s">
        <v>545</v>
      </c>
    </row>
    <row r="3" spans="1:16" ht="24" customHeight="1">
      <c r="A3" s="432"/>
      <c r="B3" s="432"/>
      <c r="C3" s="434"/>
      <c r="D3" s="432"/>
      <c r="E3" s="436"/>
      <c r="F3" s="434"/>
      <c r="G3" s="436"/>
      <c r="H3" s="437"/>
      <c r="I3" s="437"/>
      <c r="J3" s="438"/>
      <c r="K3" s="437"/>
      <c r="L3" s="437"/>
      <c r="M3" s="437"/>
      <c r="N3" s="437"/>
    </row>
    <row r="4" spans="1:16" ht="40.799999999999997">
      <c r="A4" s="233">
        <v>1</v>
      </c>
      <c r="B4" s="233">
        <v>661132</v>
      </c>
      <c r="C4" s="234" t="s">
        <v>1041</v>
      </c>
      <c r="D4" s="233" t="s">
        <v>1040</v>
      </c>
      <c r="E4" s="235" t="s">
        <v>1064</v>
      </c>
      <c r="F4" s="236" t="s">
        <v>530</v>
      </c>
      <c r="G4" s="237">
        <v>100000</v>
      </c>
      <c r="H4" s="233" t="s">
        <v>503</v>
      </c>
      <c r="I4" s="233" t="s">
        <v>1441</v>
      </c>
      <c r="J4" s="239" t="s">
        <v>1442</v>
      </c>
      <c r="K4" s="240"/>
      <c r="L4" s="241" t="s">
        <v>1440</v>
      </c>
      <c r="M4" s="233" t="s">
        <v>988</v>
      </c>
      <c r="N4" s="240"/>
    </row>
    <row r="5" spans="1:16" ht="40.799999999999997">
      <c r="A5" s="233">
        <v>2</v>
      </c>
      <c r="B5" s="233">
        <v>662126</v>
      </c>
      <c r="C5" s="234" t="s">
        <v>1042</v>
      </c>
      <c r="D5" s="233" t="s">
        <v>910</v>
      </c>
      <c r="E5" s="235" t="s">
        <v>1065</v>
      </c>
      <c r="F5" s="236" t="s">
        <v>530</v>
      </c>
      <c r="G5" s="237">
        <v>100000</v>
      </c>
      <c r="H5" s="233" t="s">
        <v>503</v>
      </c>
      <c r="I5" s="238" t="s">
        <v>1083</v>
      </c>
      <c r="J5" s="239" t="s">
        <v>1082</v>
      </c>
      <c r="K5" s="240"/>
      <c r="L5" s="240" t="s">
        <v>1080</v>
      </c>
      <c r="M5" s="233" t="s">
        <v>988</v>
      </c>
      <c r="N5" s="240"/>
    </row>
    <row r="6" spans="1:16" ht="40.799999999999997">
      <c r="A6" s="233">
        <v>3</v>
      </c>
      <c r="B6" s="233">
        <v>662137</v>
      </c>
      <c r="C6" s="234" t="s">
        <v>1043</v>
      </c>
      <c r="D6" s="233" t="s">
        <v>910</v>
      </c>
      <c r="E6" s="235" t="s">
        <v>1066</v>
      </c>
      <c r="F6" s="236" t="s">
        <v>530</v>
      </c>
      <c r="G6" s="237">
        <v>100000</v>
      </c>
      <c r="H6" s="233" t="s">
        <v>503</v>
      </c>
      <c r="I6" s="233" t="s">
        <v>1101</v>
      </c>
      <c r="J6" s="239" t="s">
        <v>1102</v>
      </c>
      <c r="K6" s="240"/>
      <c r="L6" s="241" t="s">
        <v>1100</v>
      </c>
      <c r="M6" s="233" t="s">
        <v>988</v>
      </c>
      <c r="N6" s="240"/>
    </row>
    <row r="7" spans="1:16" ht="40.799999999999997">
      <c r="A7" s="233">
        <v>4</v>
      </c>
      <c r="B7" s="233">
        <v>661152</v>
      </c>
      <c r="C7" s="234" t="s">
        <v>1044</v>
      </c>
      <c r="D7" s="233" t="s">
        <v>1040</v>
      </c>
      <c r="E7" s="235" t="s">
        <v>1067</v>
      </c>
      <c r="F7" s="236" t="s">
        <v>528</v>
      </c>
      <c r="G7" s="237">
        <v>100000</v>
      </c>
      <c r="H7" s="233" t="s">
        <v>503</v>
      </c>
      <c r="I7" s="233" t="s">
        <v>1471</v>
      </c>
      <c r="J7" s="239" t="s">
        <v>1472</v>
      </c>
      <c r="K7" s="240"/>
      <c r="L7" s="241" t="s">
        <v>1473</v>
      </c>
      <c r="M7" s="233" t="s">
        <v>988</v>
      </c>
      <c r="N7" s="241"/>
      <c r="O7" s="258" t="s">
        <v>1470</v>
      </c>
    </row>
    <row r="8" spans="1:16" ht="40.799999999999997">
      <c r="A8" s="233">
        <v>5</v>
      </c>
      <c r="B8" s="233">
        <v>663138</v>
      </c>
      <c r="C8" s="234" t="s">
        <v>1045</v>
      </c>
      <c r="D8" s="233" t="s">
        <v>921</v>
      </c>
      <c r="E8" s="235" t="s">
        <v>732</v>
      </c>
      <c r="F8" s="236" t="s">
        <v>528</v>
      </c>
      <c r="G8" s="237">
        <v>100000</v>
      </c>
      <c r="H8" s="233" t="s">
        <v>503</v>
      </c>
      <c r="I8" s="233"/>
      <c r="J8" s="239" t="s">
        <v>1274</v>
      </c>
      <c r="K8" s="240"/>
      <c r="L8" s="241" t="s">
        <v>1273</v>
      </c>
      <c r="M8" s="233" t="s">
        <v>988</v>
      </c>
      <c r="N8" s="240"/>
    </row>
    <row r="9" spans="1:16" ht="61.2">
      <c r="A9" s="233">
        <v>6</v>
      </c>
      <c r="B9" s="233">
        <v>663146</v>
      </c>
      <c r="C9" s="234" t="s">
        <v>1046</v>
      </c>
      <c r="D9" s="233" t="s">
        <v>921</v>
      </c>
      <c r="E9" s="235" t="s">
        <v>728</v>
      </c>
      <c r="F9" s="236" t="s">
        <v>528</v>
      </c>
      <c r="G9" s="237">
        <v>100000</v>
      </c>
      <c r="H9" s="233" t="s">
        <v>503</v>
      </c>
      <c r="I9" s="233" t="s">
        <v>1173</v>
      </c>
      <c r="J9" s="253" t="s">
        <v>1314</v>
      </c>
      <c r="K9" s="241" t="s">
        <v>1313</v>
      </c>
      <c r="L9" s="240"/>
      <c r="M9" s="233"/>
      <c r="N9" s="240"/>
    </row>
    <row r="10" spans="1:16" ht="74.25" customHeight="1">
      <c r="A10" s="233">
        <v>7</v>
      </c>
      <c r="B10" s="233">
        <v>661141</v>
      </c>
      <c r="C10" s="234" t="s">
        <v>1047</v>
      </c>
      <c r="D10" s="233" t="s">
        <v>1040</v>
      </c>
      <c r="E10" s="235" t="s">
        <v>726</v>
      </c>
      <c r="F10" s="236" t="s">
        <v>532</v>
      </c>
      <c r="G10" s="237">
        <v>80000</v>
      </c>
      <c r="H10" s="233" t="s">
        <v>503</v>
      </c>
      <c r="I10" s="233" t="s">
        <v>1624</v>
      </c>
      <c r="J10" s="239" t="s">
        <v>1625</v>
      </c>
      <c r="K10" s="241" t="s">
        <v>1626</v>
      </c>
      <c r="L10" s="233" t="s">
        <v>1605</v>
      </c>
      <c r="M10" s="233" t="s">
        <v>1283</v>
      </c>
      <c r="N10" s="233" t="s">
        <v>1608</v>
      </c>
      <c r="O10" s="335" t="s">
        <v>1607</v>
      </c>
      <c r="P10" s="335" t="s">
        <v>1606</v>
      </c>
    </row>
    <row r="11" spans="1:16" s="251" customFormat="1" ht="40.799999999999997">
      <c r="A11" s="242">
        <v>8</v>
      </c>
      <c r="B11" s="242">
        <v>662124</v>
      </c>
      <c r="C11" s="243" t="s">
        <v>1048</v>
      </c>
      <c r="D11" s="242" t="s">
        <v>910</v>
      </c>
      <c r="E11" s="244" t="s">
        <v>729</v>
      </c>
      <c r="F11" s="245" t="s">
        <v>532</v>
      </c>
      <c r="G11" s="246">
        <v>100000</v>
      </c>
      <c r="H11" s="242"/>
      <c r="I11" s="242"/>
      <c r="J11" s="247"/>
      <c r="K11" s="248"/>
      <c r="L11" s="249"/>
      <c r="M11" s="250"/>
      <c r="N11" s="248"/>
    </row>
    <row r="12" spans="1:16" ht="61.2">
      <c r="A12" s="233">
        <v>9</v>
      </c>
      <c r="B12" s="233">
        <v>662150</v>
      </c>
      <c r="C12" s="234" t="s">
        <v>1049</v>
      </c>
      <c r="D12" s="233" t="s">
        <v>910</v>
      </c>
      <c r="E12" s="235" t="s">
        <v>1068</v>
      </c>
      <c r="F12" s="236" t="s">
        <v>531</v>
      </c>
      <c r="G12" s="237">
        <v>100000</v>
      </c>
      <c r="H12" s="233" t="s">
        <v>503</v>
      </c>
      <c r="I12" s="233" t="s">
        <v>1156</v>
      </c>
      <c r="J12" s="239" t="s">
        <v>1157</v>
      </c>
      <c r="K12" s="240"/>
      <c r="L12" s="240" t="s">
        <v>1155</v>
      </c>
      <c r="M12" s="233" t="s">
        <v>1143</v>
      </c>
      <c r="N12" s="240"/>
    </row>
    <row r="13" spans="1:16" ht="61.2">
      <c r="A13" s="233">
        <v>10</v>
      </c>
      <c r="B13" s="233">
        <v>662151</v>
      </c>
      <c r="C13" s="234" t="s">
        <v>1050</v>
      </c>
      <c r="D13" s="233" t="s">
        <v>910</v>
      </c>
      <c r="E13" s="235" t="s">
        <v>734</v>
      </c>
      <c r="F13" s="236" t="s">
        <v>531</v>
      </c>
      <c r="G13" s="237">
        <v>100000</v>
      </c>
      <c r="H13" s="233" t="s">
        <v>503</v>
      </c>
      <c r="I13" s="233" t="s">
        <v>1119</v>
      </c>
      <c r="J13" s="239"/>
      <c r="K13" s="240"/>
      <c r="L13" s="241" t="s">
        <v>1113</v>
      </c>
      <c r="M13" s="233" t="s">
        <v>988</v>
      </c>
      <c r="N13" s="240"/>
    </row>
    <row r="14" spans="1:16" ht="61.2">
      <c r="A14" s="233">
        <v>11</v>
      </c>
      <c r="B14" s="233">
        <v>661127</v>
      </c>
      <c r="C14" s="234" t="s">
        <v>1051</v>
      </c>
      <c r="D14" s="233" t="s">
        <v>1040</v>
      </c>
      <c r="E14" s="235" t="s">
        <v>1069</v>
      </c>
      <c r="F14" s="236" t="s">
        <v>529</v>
      </c>
      <c r="G14" s="237">
        <v>92000</v>
      </c>
      <c r="H14" s="233" t="s">
        <v>503</v>
      </c>
      <c r="I14" s="233"/>
      <c r="J14" s="239"/>
      <c r="K14" s="240"/>
      <c r="L14" s="241" t="s">
        <v>1164</v>
      </c>
      <c r="M14" s="233" t="s">
        <v>988</v>
      </c>
      <c r="N14" s="240"/>
    </row>
    <row r="15" spans="1:16" ht="61.2">
      <c r="A15" s="233">
        <v>12</v>
      </c>
      <c r="B15" s="233">
        <v>662145</v>
      </c>
      <c r="C15" s="234" t="s">
        <v>1052</v>
      </c>
      <c r="D15" s="233" t="s">
        <v>910</v>
      </c>
      <c r="E15" s="235" t="s">
        <v>1070</v>
      </c>
      <c r="F15" s="236" t="s">
        <v>529</v>
      </c>
      <c r="G15" s="237">
        <v>100000</v>
      </c>
      <c r="H15" s="233" t="s">
        <v>503</v>
      </c>
      <c r="I15" s="233" t="s">
        <v>1171</v>
      </c>
      <c r="J15" s="239" t="s">
        <v>1172</v>
      </c>
      <c r="K15" s="240"/>
      <c r="L15" s="241" t="s">
        <v>1176</v>
      </c>
      <c r="M15" s="233" t="s">
        <v>988</v>
      </c>
      <c r="N15" s="240"/>
    </row>
    <row r="16" spans="1:16" ht="61.2">
      <c r="A16" s="233">
        <v>13</v>
      </c>
      <c r="B16" s="233">
        <v>661143</v>
      </c>
      <c r="C16" s="234" t="s">
        <v>1053</v>
      </c>
      <c r="D16" s="233" t="s">
        <v>1040</v>
      </c>
      <c r="E16" s="235" t="s">
        <v>735</v>
      </c>
      <c r="F16" s="236" t="s">
        <v>518</v>
      </c>
      <c r="G16" s="237">
        <v>100000</v>
      </c>
      <c r="H16" s="233" t="s">
        <v>503</v>
      </c>
      <c r="I16" s="233" t="s">
        <v>1145</v>
      </c>
      <c r="J16" s="239" t="s">
        <v>1146</v>
      </c>
      <c r="K16" s="241"/>
      <c r="L16" s="240" t="s">
        <v>1142</v>
      </c>
      <c r="M16" s="233" t="s">
        <v>1143</v>
      </c>
      <c r="N16" s="240"/>
    </row>
    <row r="17" spans="1:20" ht="40.799999999999997">
      <c r="A17" s="233">
        <v>14</v>
      </c>
      <c r="B17" s="233">
        <v>661144</v>
      </c>
      <c r="C17" s="234" t="s">
        <v>1054</v>
      </c>
      <c r="D17" s="233" t="s">
        <v>1040</v>
      </c>
      <c r="E17" s="235" t="s">
        <v>1071</v>
      </c>
      <c r="F17" s="236" t="s">
        <v>518</v>
      </c>
      <c r="G17" s="237">
        <v>100000</v>
      </c>
      <c r="H17" s="233" t="s">
        <v>503</v>
      </c>
      <c r="I17" s="233" t="s">
        <v>1147</v>
      </c>
      <c r="J17" s="239" t="s">
        <v>1146</v>
      </c>
      <c r="K17" s="240"/>
      <c r="L17" s="240" t="s">
        <v>1142</v>
      </c>
      <c r="M17" s="233" t="s">
        <v>1143</v>
      </c>
      <c r="N17" s="252"/>
    </row>
    <row r="18" spans="1:20" ht="61.2">
      <c r="A18" s="233">
        <v>15</v>
      </c>
      <c r="B18" s="233">
        <v>661148</v>
      </c>
      <c r="C18" s="234" t="s">
        <v>1055</v>
      </c>
      <c r="D18" s="233" t="s">
        <v>1040</v>
      </c>
      <c r="E18" s="235" t="s">
        <v>1072</v>
      </c>
      <c r="F18" s="236" t="s">
        <v>518</v>
      </c>
      <c r="G18" s="237">
        <v>100000</v>
      </c>
      <c r="H18" s="233" t="s">
        <v>503</v>
      </c>
      <c r="I18" s="233" t="s">
        <v>1084</v>
      </c>
      <c r="J18" s="239" t="s">
        <v>1082</v>
      </c>
      <c r="K18" s="240"/>
      <c r="L18" s="241" t="s">
        <v>1079</v>
      </c>
      <c r="M18" s="233" t="s">
        <v>988</v>
      </c>
      <c r="N18" s="240"/>
    </row>
    <row r="19" spans="1:20" ht="61.2">
      <c r="A19" s="233">
        <v>16</v>
      </c>
      <c r="B19" s="233">
        <v>662128</v>
      </c>
      <c r="C19" s="234" t="s">
        <v>1056</v>
      </c>
      <c r="D19" s="233" t="s">
        <v>910</v>
      </c>
      <c r="E19" s="235" t="s">
        <v>1073</v>
      </c>
      <c r="F19" s="236" t="s">
        <v>518</v>
      </c>
      <c r="G19" s="237">
        <v>100000</v>
      </c>
      <c r="H19" s="233" t="s">
        <v>503</v>
      </c>
      <c r="I19" s="233" t="s">
        <v>1120</v>
      </c>
      <c r="J19" s="239" t="s">
        <v>1121</v>
      </c>
      <c r="K19" s="240"/>
      <c r="L19" s="241" t="s">
        <v>1123</v>
      </c>
      <c r="M19" s="233" t="s">
        <v>988</v>
      </c>
      <c r="N19" s="240"/>
    </row>
    <row r="20" spans="1:20" ht="61.2">
      <c r="A20" s="233">
        <v>17</v>
      </c>
      <c r="B20" s="233">
        <v>662130</v>
      </c>
      <c r="C20" s="234" t="s">
        <v>1057</v>
      </c>
      <c r="D20" s="233" t="s">
        <v>910</v>
      </c>
      <c r="E20" s="235" t="s">
        <v>1074</v>
      </c>
      <c r="F20" s="236" t="s">
        <v>518</v>
      </c>
      <c r="G20" s="237">
        <v>100000</v>
      </c>
      <c r="H20" s="233" t="s">
        <v>503</v>
      </c>
      <c r="I20" s="233" t="s">
        <v>1122</v>
      </c>
      <c r="J20" s="239" t="s">
        <v>1121</v>
      </c>
      <c r="K20" s="240"/>
      <c r="L20" s="241" t="s">
        <v>1123</v>
      </c>
      <c r="M20" s="233" t="s">
        <v>988</v>
      </c>
      <c r="N20" s="240"/>
    </row>
    <row r="21" spans="1:20" ht="81.599999999999994">
      <c r="A21" s="233">
        <v>18</v>
      </c>
      <c r="B21" s="233">
        <v>662131</v>
      </c>
      <c r="C21" s="234" t="s">
        <v>1058</v>
      </c>
      <c r="D21" s="233" t="s">
        <v>910</v>
      </c>
      <c r="E21" s="235" t="s">
        <v>1075</v>
      </c>
      <c r="F21" s="236" t="s">
        <v>518</v>
      </c>
      <c r="G21" s="237">
        <v>60000</v>
      </c>
      <c r="H21" s="233" t="s">
        <v>503</v>
      </c>
      <c r="I21" s="233" t="s">
        <v>1106</v>
      </c>
      <c r="J21" s="239" t="s">
        <v>1107</v>
      </c>
      <c r="K21" s="241" t="s">
        <v>1108</v>
      </c>
      <c r="L21" s="241"/>
      <c r="M21" s="233"/>
      <c r="N21" s="240"/>
    </row>
    <row r="22" spans="1:20" ht="40.799999999999997">
      <c r="A22" s="233">
        <v>19</v>
      </c>
      <c r="B22" s="233">
        <v>662133</v>
      </c>
      <c r="C22" s="234" t="s">
        <v>1059</v>
      </c>
      <c r="D22" s="233" t="s">
        <v>910</v>
      </c>
      <c r="E22" s="235" t="s">
        <v>1076</v>
      </c>
      <c r="F22" s="236" t="s">
        <v>518</v>
      </c>
      <c r="G22" s="237">
        <v>100000</v>
      </c>
      <c r="H22" s="233" t="s">
        <v>503</v>
      </c>
      <c r="I22" s="236" t="s">
        <v>1130</v>
      </c>
      <c r="J22" s="239" t="s">
        <v>1131</v>
      </c>
      <c r="K22" s="240"/>
      <c r="L22" s="241" t="s">
        <v>1132</v>
      </c>
      <c r="M22" s="233" t="s">
        <v>1133</v>
      </c>
      <c r="N22" s="240"/>
    </row>
    <row r="23" spans="1:20" ht="40.799999999999997">
      <c r="A23" s="233">
        <v>20</v>
      </c>
      <c r="B23" s="233">
        <v>662142</v>
      </c>
      <c r="C23" s="234" t="s">
        <v>1060</v>
      </c>
      <c r="D23" s="233" t="s">
        <v>910</v>
      </c>
      <c r="E23" s="235" t="s">
        <v>1077</v>
      </c>
      <c r="F23" s="236" t="s">
        <v>518</v>
      </c>
      <c r="G23" s="237">
        <v>100000</v>
      </c>
      <c r="H23" s="233" t="s">
        <v>503</v>
      </c>
      <c r="I23" s="233" t="s">
        <v>1139</v>
      </c>
      <c r="J23" s="253" t="s">
        <v>1140</v>
      </c>
      <c r="K23" s="240"/>
      <c r="L23" s="189" t="s">
        <v>1129</v>
      </c>
      <c r="M23" s="233" t="s">
        <v>988</v>
      </c>
      <c r="N23" s="240"/>
    </row>
    <row r="24" spans="1:20" ht="40.799999999999997">
      <c r="A24" s="233">
        <v>21</v>
      </c>
      <c r="B24" s="233">
        <v>662153</v>
      </c>
      <c r="C24" s="234" t="s">
        <v>1061</v>
      </c>
      <c r="D24" s="233" t="s">
        <v>1040</v>
      </c>
      <c r="E24" s="235" t="s">
        <v>1078</v>
      </c>
      <c r="F24" s="236" t="s">
        <v>518</v>
      </c>
      <c r="G24" s="237">
        <v>100000</v>
      </c>
      <c r="H24" s="233" t="s">
        <v>503</v>
      </c>
      <c r="I24" s="254" t="s">
        <v>1148</v>
      </c>
      <c r="J24" s="239" t="s">
        <v>1146</v>
      </c>
      <c r="K24" s="240"/>
      <c r="L24" s="240" t="s">
        <v>1144</v>
      </c>
      <c r="M24" s="233" t="s">
        <v>988</v>
      </c>
      <c r="N24" s="241"/>
    </row>
    <row r="25" spans="1:20" ht="81.599999999999994">
      <c r="A25" s="233">
        <v>22</v>
      </c>
      <c r="B25" s="233">
        <v>661125</v>
      </c>
      <c r="C25" s="234" t="s">
        <v>1062</v>
      </c>
      <c r="D25" s="233" t="s">
        <v>1040</v>
      </c>
      <c r="E25" s="235" t="s">
        <v>730</v>
      </c>
      <c r="F25" s="236" t="s">
        <v>516</v>
      </c>
      <c r="G25" s="237">
        <v>65000</v>
      </c>
      <c r="H25" s="233" t="s">
        <v>503</v>
      </c>
      <c r="I25" s="233" t="s">
        <v>1109</v>
      </c>
      <c r="J25" s="239" t="s">
        <v>533</v>
      </c>
      <c r="K25" s="241" t="s">
        <v>1108</v>
      </c>
      <c r="L25" s="240"/>
      <c r="M25" s="233"/>
      <c r="N25" s="240"/>
    </row>
    <row r="26" spans="1:20" s="232" customFormat="1" ht="40.799999999999997">
      <c r="A26" s="224">
        <v>23</v>
      </c>
      <c r="B26" s="224">
        <v>662139</v>
      </c>
      <c r="C26" s="225" t="s">
        <v>1063</v>
      </c>
      <c r="D26" s="224" t="s">
        <v>910</v>
      </c>
      <c r="E26" s="226" t="s">
        <v>727</v>
      </c>
      <c r="F26" s="227" t="s">
        <v>516</v>
      </c>
      <c r="G26" s="228">
        <v>100000</v>
      </c>
      <c r="H26" s="224" t="s">
        <v>1112</v>
      </c>
      <c r="I26" s="224" t="s">
        <v>1174</v>
      </c>
      <c r="J26" s="229"/>
      <c r="K26" s="230" t="s">
        <v>1175</v>
      </c>
      <c r="L26" s="231"/>
      <c r="M26" s="224"/>
      <c r="N26" s="230"/>
    </row>
    <row r="27" spans="1:20" s="258" customFormat="1">
      <c r="A27" s="222"/>
      <c r="B27" s="222"/>
      <c r="C27" s="222"/>
      <c r="D27" s="222"/>
      <c r="E27" s="222"/>
      <c r="F27" s="222"/>
      <c r="G27" s="255"/>
      <c r="H27" s="256"/>
      <c r="I27" s="256"/>
      <c r="J27" s="257"/>
      <c r="M27" s="256"/>
      <c r="O27" s="222"/>
      <c r="P27" s="222"/>
      <c r="Q27" s="222"/>
      <c r="R27" s="222"/>
      <c r="S27" s="222"/>
      <c r="T27" s="222"/>
    </row>
    <row r="28" spans="1:20" s="258" customFormat="1" ht="21">
      <c r="A28" s="222"/>
      <c r="B28" s="222"/>
      <c r="C28" s="222"/>
      <c r="D28" s="222"/>
      <c r="E28" s="222"/>
      <c r="F28" s="222"/>
      <c r="G28" s="259">
        <f>SUM(G4:G27)</f>
        <v>2197000</v>
      </c>
      <c r="H28" s="256"/>
      <c r="I28" s="256"/>
      <c r="J28" s="257"/>
      <c r="M28" s="256"/>
      <c r="O28" s="222"/>
      <c r="P28" s="222"/>
      <c r="Q28" s="222"/>
      <c r="R28" s="222"/>
      <c r="S28" s="222"/>
      <c r="T28" s="222"/>
    </row>
    <row r="29" spans="1:20" s="258" customFormat="1">
      <c r="A29" s="222"/>
      <c r="B29" s="222"/>
      <c r="C29" s="222"/>
      <c r="D29" s="222"/>
      <c r="E29" s="222"/>
      <c r="F29" s="222"/>
      <c r="H29" s="256"/>
      <c r="I29" s="256"/>
      <c r="J29" s="257"/>
      <c r="M29" s="256"/>
      <c r="O29" s="222"/>
      <c r="P29" s="222"/>
      <c r="Q29" s="222"/>
      <c r="R29" s="222"/>
      <c r="S29" s="222"/>
      <c r="T29" s="222"/>
    </row>
    <row r="30" spans="1:20" s="258" customFormat="1">
      <c r="A30" s="222"/>
      <c r="B30" s="222"/>
      <c r="C30" s="222"/>
      <c r="D30" s="222"/>
      <c r="E30" s="222"/>
      <c r="F30" s="222"/>
      <c r="H30" s="256"/>
      <c r="I30" s="256"/>
      <c r="J30" s="257"/>
      <c r="M30" s="256"/>
      <c r="O30" s="222"/>
      <c r="P30" s="222"/>
      <c r="Q30" s="222"/>
      <c r="R30" s="222"/>
      <c r="S30" s="222"/>
      <c r="T30" s="222"/>
    </row>
    <row r="31" spans="1:20" s="258" customFormat="1">
      <c r="A31" s="222"/>
      <c r="B31" s="222"/>
      <c r="C31" s="222"/>
      <c r="D31" s="222"/>
      <c r="E31" s="222"/>
      <c r="F31" s="222"/>
      <c r="H31" s="256"/>
      <c r="I31" s="256"/>
      <c r="J31" s="257"/>
      <c r="M31" s="256"/>
      <c r="O31" s="222"/>
      <c r="P31" s="222"/>
      <c r="Q31" s="222"/>
      <c r="R31" s="222"/>
      <c r="S31" s="222"/>
      <c r="T31" s="222"/>
    </row>
    <row r="32" spans="1:20" s="258" customFormat="1">
      <c r="A32" s="222"/>
      <c r="B32" s="222"/>
      <c r="C32" s="222"/>
      <c r="D32" s="222"/>
      <c r="E32" s="222"/>
      <c r="F32" s="222"/>
      <c r="H32" s="256"/>
      <c r="I32" s="256"/>
      <c r="J32" s="257"/>
      <c r="M32" s="256"/>
      <c r="O32" s="222"/>
      <c r="P32" s="222"/>
      <c r="Q32" s="222"/>
      <c r="R32" s="222"/>
      <c r="S32" s="222"/>
      <c r="T32" s="222"/>
    </row>
    <row r="33" spans="1:20" s="258" customFormat="1">
      <c r="A33" s="222"/>
      <c r="B33" s="222"/>
      <c r="C33" s="222"/>
      <c r="D33" s="222"/>
      <c r="E33" s="222"/>
      <c r="F33" s="222"/>
      <c r="H33" s="256"/>
      <c r="I33" s="256"/>
      <c r="J33" s="257"/>
      <c r="M33" s="256"/>
      <c r="O33" s="222"/>
      <c r="P33" s="222"/>
      <c r="Q33" s="222"/>
      <c r="R33" s="222"/>
      <c r="S33" s="222"/>
      <c r="T33" s="222"/>
    </row>
    <row r="34" spans="1:20" s="258" customFormat="1">
      <c r="A34" s="222"/>
      <c r="B34" s="222"/>
      <c r="C34" s="222"/>
      <c r="D34" s="222"/>
      <c r="E34" s="222"/>
      <c r="F34" s="222"/>
      <c r="H34" s="256"/>
      <c r="I34" s="256"/>
      <c r="J34" s="257"/>
      <c r="M34" s="256"/>
      <c r="O34" s="222"/>
      <c r="P34" s="222"/>
      <c r="Q34" s="222"/>
      <c r="R34" s="222"/>
      <c r="S34" s="222"/>
      <c r="T34" s="222"/>
    </row>
    <row r="35" spans="1:20" s="258" customFormat="1">
      <c r="A35" s="222"/>
      <c r="B35" s="222"/>
      <c r="C35" s="222"/>
      <c r="D35" s="222"/>
      <c r="E35" s="222"/>
      <c r="F35" s="222"/>
      <c r="H35" s="256"/>
      <c r="I35" s="256"/>
      <c r="J35" s="257"/>
      <c r="M35" s="256"/>
      <c r="O35" s="222"/>
      <c r="P35" s="222"/>
      <c r="Q35" s="222"/>
      <c r="R35" s="222"/>
      <c r="S35" s="222"/>
      <c r="T35" s="222"/>
    </row>
    <row r="36" spans="1:20" s="258" customFormat="1">
      <c r="A36" s="222"/>
      <c r="B36" s="222"/>
      <c r="C36" s="222"/>
      <c r="D36" s="222"/>
      <c r="E36" s="222"/>
      <c r="F36" s="222"/>
      <c r="H36" s="256"/>
      <c r="I36" s="256"/>
      <c r="J36" s="257"/>
      <c r="M36" s="256"/>
      <c r="O36" s="222"/>
      <c r="P36" s="222"/>
      <c r="Q36" s="222"/>
      <c r="R36" s="222"/>
      <c r="S36" s="222"/>
      <c r="T36" s="222"/>
    </row>
    <row r="37" spans="1:20" s="258" customFormat="1">
      <c r="A37" s="222"/>
      <c r="B37" s="222"/>
      <c r="C37" s="222"/>
      <c r="D37" s="222"/>
      <c r="E37" s="222"/>
      <c r="F37" s="222"/>
      <c r="H37" s="256"/>
      <c r="I37" s="256"/>
      <c r="J37" s="257"/>
      <c r="M37" s="256"/>
      <c r="O37" s="222"/>
      <c r="P37" s="222"/>
      <c r="Q37" s="222"/>
      <c r="R37" s="222"/>
      <c r="S37" s="222"/>
      <c r="T37" s="222"/>
    </row>
    <row r="38" spans="1:20" s="258" customFormat="1">
      <c r="A38" s="222"/>
      <c r="B38" s="222"/>
      <c r="C38" s="222"/>
      <c r="D38" s="222"/>
      <c r="E38" s="222"/>
      <c r="F38" s="222"/>
      <c r="H38" s="256"/>
      <c r="I38" s="256"/>
      <c r="J38" s="257"/>
      <c r="M38" s="256"/>
      <c r="O38" s="222"/>
      <c r="P38" s="222"/>
      <c r="Q38" s="222"/>
      <c r="R38" s="222"/>
      <c r="S38" s="222"/>
      <c r="T38" s="222"/>
    </row>
    <row r="39" spans="1:20" s="258" customFormat="1">
      <c r="A39" s="222"/>
      <c r="B39" s="222"/>
      <c r="C39" s="222"/>
      <c r="D39" s="222"/>
      <c r="E39" s="222"/>
      <c r="F39" s="222"/>
      <c r="H39" s="256"/>
      <c r="I39" s="256"/>
      <c r="J39" s="257"/>
      <c r="M39" s="256"/>
      <c r="O39" s="222"/>
      <c r="P39" s="222"/>
      <c r="Q39" s="222"/>
      <c r="R39" s="222"/>
      <c r="S39" s="222"/>
      <c r="T39" s="222"/>
    </row>
  </sheetData>
  <mergeCells count="15">
    <mergeCell ref="A1:N1"/>
    <mergeCell ref="D2:D3"/>
    <mergeCell ref="C2:C3"/>
    <mergeCell ref="B2:B3"/>
    <mergeCell ref="A2:A3"/>
    <mergeCell ref="E2:E3"/>
    <mergeCell ref="M2:M3"/>
    <mergeCell ref="N2:N3"/>
    <mergeCell ref="G2:G3"/>
    <mergeCell ref="F2:F3"/>
    <mergeCell ref="H2:H3"/>
    <mergeCell ref="I2:I3"/>
    <mergeCell ref="J2:J3"/>
    <mergeCell ref="K2:K3"/>
    <mergeCell ref="L2:L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EFD57-60A8-4367-893A-6D553328C1C4}">
  <sheetPr>
    <tabColor rgb="FFFF6699"/>
  </sheetPr>
  <dimension ref="A1:U995"/>
  <sheetViews>
    <sheetView topLeftCell="D1" zoomScale="70" zoomScaleNormal="70" workbookViewId="0">
      <selection activeCell="L1" sqref="L1"/>
    </sheetView>
  </sheetViews>
  <sheetFormatPr defaultColWidth="12.5546875" defaultRowHeight="21"/>
  <cols>
    <col min="1" max="1" width="11" style="264" bestFit="1" customWidth="1"/>
    <col min="2" max="2" width="18.109375" style="264" bestFit="1" customWidth="1"/>
    <col min="3" max="3" width="120.44140625" style="271" bestFit="1" customWidth="1"/>
    <col min="4" max="4" width="47.77734375" style="264" bestFit="1" customWidth="1"/>
    <col min="5" max="5" width="62.5546875" style="264" bestFit="1" customWidth="1"/>
    <col min="6" max="6" width="12.33203125" style="264" bestFit="1" customWidth="1"/>
    <col min="7" max="7" width="16.6640625" style="265" bestFit="1" customWidth="1"/>
    <col min="8" max="8" width="26.44140625" style="282" bestFit="1" customWidth="1"/>
    <col min="9" max="9" width="38.5546875" style="281" bestFit="1" customWidth="1"/>
    <col min="10" max="10" width="25.21875" style="281" bestFit="1" customWidth="1"/>
    <col min="11" max="11" width="219.6640625" style="264" bestFit="1" customWidth="1"/>
    <col min="12" max="12" width="34.5546875" style="281" bestFit="1" customWidth="1"/>
    <col min="13" max="13" width="36.5546875" style="281" bestFit="1" customWidth="1"/>
    <col min="14" max="14" width="47.109375" style="264" bestFit="1" customWidth="1"/>
    <col min="15" max="16384" width="12.5546875" style="264"/>
  </cols>
  <sheetData>
    <row r="1" spans="1:21" ht="41.25" customHeight="1">
      <c r="A1" s="263" t="s">
        <v>0</v>
      </c>
      <c r="B1" s="263" t="s">
        <v>1190</v>
      </c>
      <c r="C1" s="263" t="s">
        <v>771</v>
      </c>
      <c r="D1" s="263" t="s">
        <v>770</v>
      </c>
      <c r="E1" s="263" t="s">
        <v>902</v>
      </c>
      <c r="F1" s="263" t="s">
        <v>4</v>
      </c>
      <c r="G1" s="263" t="s">
        <v>535</v>
      </c>
      <c r="H1" s="283" t="s">
        <v>11</v>
      </c>
      <c r="I1" s="284" t="s">
        <v>652</v>
      </c>
      <c r="J1" s="283" t="s">
        <v>537</v>
      </c>
      <c r="K1" s="283" t="s">
        <v>544</v>
      </c>
      <c r="L1" s="283" t="s">
        <v>653</v>
      </c>
      <c r="M1" s="283" t="s">
        <v>545</v>
      </c>
      <c r="N1" s="258" t="s">
        <v>1598</v>
      </c>
      <c r="O1" s="258"/>
      <c r="P1" s="258"/>
      <c r="Q1" s="258"/>
      <c r="R1" s="258"/>
      <c r="S1" s="258"/>
      <c r="T1" s="258"/>
      <c r="U1" s="258"/>
    </row>
    <row r="2" spans="1:21" s="292" customFormat="1" ht="51.75" customHeight="1">
      <c r="A2" s="286">
        <v>1</v>
      </c>
      <c r="B2" s="286">
        <v>671162</v>
      </c>
      <c r="C2" s="314" t="s">
        <v>1191</v>
      </c>
      <c r="D2" s="286" t="s">
        <v>1192</v>
      </c>
      <c r="E2" s="308" t="s">
        <v>1193</v>
      </c>
      <c r="F2" s="286" t="s">
        <v>522</v>
      </c>
      <c r="G2" s="309" t="s">
        <v>1194</v>
      </c>
      <c r="H2" s="286" t="s">
        <v>503</v>
      </c>
      <c r="I2" s="290" t="s">
        <v>1294</v>
      </c>
      <c r="J2" s="290"/>
      <c r="K2" s="310" t="s">
        <v>1295</v>
      </c>
      <c r="L2" s="290" t="s">
        <v>1296</v>
      </c>
      <c r="M2" s="290"/>
      <c r="N2" s="291"/>
      <c r="O2" s="291"/>
      <c r="P2" s="291"/>
      <c r="Q2" s="291"/>
      <c r="R2" s="291"/>
      <c r="S2" s="291"/>
      <c r="T2" s="291"/>
      <c r="U2" s="291"/>
    </row>
    <row r="3" spans="1:21" s="292" customFormat="1" ht="29.25" customHeight="1">
      <c r="A3" s="286">
        <v>2</v>
      </c>
      <c r="B3" s="286">
        <v>671165</v>
      </c>
      <c r="C3" s="313" t="s">
        <v>1195</v>
      </c>
      <c r="D3" s="286" t="s">
        <v>1192</v>
      </c>
      <c r="E3" s="308" t="s">
        <v>1196</v>
      </c>
      <c r="F3" s="286" t="s">
        <v>522</v>
      </c>
      <c r="G3" s="309" t="s">
        <v>1194</v>
      </c>
      <c r="H3" s="286" t="s">
        <v>503</v>
      </c>
      <c r="I3" s="290" t="s">
        <v>1438</v>
      </c>
      <c r="J3" s="290"/>
      <c r="K3" s="310" t="s">
        <v>1439</v>
      </c>
      <c r="L3" s="290" t="s">
        <v>1437</v>
      </c>
      <c r="M3" s="290"/>
      <c r="N3" s="291"/>
      <c r="O3" s="291"/>
      <c r="P3" s="291"/>
      <c r="Q3" s="291"/>
      <c r="R3" s="291"/>
      <c r="S3" s="291"/>
      <c r="T3" s="291"/>
      <c r="U3" s="291"/>
    </row>
    <row r="4" spans="1:21" s="292" customFormat="1" ht="59.25" customHeight="1">
      <c r="A4" s="286">
        <v>3</v>
      </c>
      <c r="B4" s="286">
        <v>671179</v>
      </c>
      <c r="C4" s="296" t="s">
        <v>1197</v>
      </c>
      <c r="D4" s="286" t="s">
        <v>1192</v>
      </c>
      <c r="E4" s="308" t="s">
        <v>1198</v>
      </c>
      <c r="F4" s="286" t="s">
        <v>522</v>
      </c>
      <c r="G4" s="309" t="s">
        <v>1194</v>
      </c>
      <c r="H4" s="286" t="s">
        <v>503</v>
      </c>
      <c r="I4" s="290" t="s">
        <v>1430</v>
      </c>
      <c r="J4" s="290"/>
      <c r="K4" s="289" t="s">
        <v>1431</v>
      </c>
      <c r="L4" s="290"/>
      <c r="M4" s="290"/>
      <c r="N4" s="291"/>
      <c r="O4" s="291"/>
      <c r="P4" s="291"/>
      <c r="Q4" s="291"/>
      <c r="R4" s="291"/>
      <c r="S4" s="291"/>
      <c r="T4" s="291"/>
      <c r="U4" s="291"/>
    </row>
    <row r="5" spans="1:21" s="292" customFormat="1" ht="73.5" customHeight="1">
      <c r="A5" s="286">
        <v>4</v>
      </c>
      <c r="B5" s="286">
        <v>671185</v>
      </c>
      <c r="C5" s="296" t="s">
        <v>1199</v>
      </c>
      <c r="D5" s="286" t="s">
        <v>1192</v>
      </c>
      <c r="E5" s="308" t="s">
        <v>1200</v>
      </c>
      <c r="F5" s="286" t="s">
        <v>522</v>
      </c>
      <c r="G5" s="309" t="s">
        <v>1194</v>
      </c>
      <c r="H5" s="286" t="s">
        <v>503</v>
      </c>
      <c r="I5" s="290" t="s">
        <v>1580</v>
      </c>
      <c r="J5" s="290"/>
      <c r="K5" s="289"/>
      <c r="L5" s="290" t="s">
        <v>1579</v>
      </c>
      <c r="M5" s="312" t="s">
        <v>1578</v>
      </c>
      <c r="N5" s="291"/>
      <c r="O5" s="291"/>
      <c r="P5" s="291"/>
      <c r="Q5" s="291"/>
      <c r="R5" s="291"/>
      <c r="S5" s="291"/>
      <c r="T5" s="291"/>
      <c r="U5" s="291"/>
    </row>
    <row r="6" spans="1:21" s="292" customFormat="1" ht="31.5" customHeight="1">
      <c r="A6" s="286">
        <v>5</v>
      </c>
      <c r="B6" s="286">
        <v>672196</v>
      </c>
      <c r="C6" s="315" t="s">
        <v>1201</v>
      </c>
      <c r="D6" s="316" t="s">
        <v>910</v>
      </c>
      <c r="E6" s="286" t="s">
        <v>1202</v>
      </c>
      <c r="F6" s="286" t="s">
        <v>522</v>
      </c>
      <c r="G6" s="309" t="s">
        <v>1194</v>
      </c>
      <c r="H6" s="286" t="s">
        <v>503</v>
      </c>
      <c r="I6" s="290" t="s">
        <v>1306</v>
      </c>
      <c r="J6" s="290"/>
      <c r="K6" s="310" t="s">
        <v>1303</v>
      </c>
      <c r="L6" s="290" t="s">
        <v>988</v>
      </c>
      <c r="M6" s="290"/>
      <c r="N6" s="291"/>
      <c r="O6" s="291"/>
      <c r="P6" s="291"/>
      <c r="Q6" s="291"/>
      <c r="R6" s="291"/>
      <c r="S6" s="291"/>
      <c r="T6" s="291"/>
      <c r="U6" s="291"/>
    </row>
    <row r="7" spans="1:21" s="265" customFormat="1" ht="30" customHeight="1">
      <c r="A7" s="266">
        <v>6</v>
      </c>
      <c r="B7" s="266">
        <v>673180</v>
      </c>
      <c r="C7" s="267" t="s">
        <v>1203</v>
      </c>
      <c r="D7" s="269" t="s">
        <v>921</v>
      </c>
      <c r="E7" s="266" t="s">
        <v>733</v>
      </c>
      <c r="F7" s="266" t="s">
        <v>522</v>
      </c>
      <c r="G7" s="268" t="s">
        <v>1194</v>
      </c>
      <c r="H7" s="266"/>
      <c r="I7" s="280"/>
      <c r="J7" s="280"/>
      <c r="K7" s="285"/>
      <c r="L7" s="280"/>
      <c r="M7" s="280"/>
      <c r="N7" s="258"/>
      <c r="O7" s="258"/>
      <c r="P7" s="258"/>
      <c r="Q7" s="258"/>
      <c r="R7" s="258"/>
      <c r="S7" s="258"/>
      <c r="T7" s="258"/>
      <c r="U7" s="258"/>
    </row>
    <row r="8" spans="1:21" s="325" customFormat="1" ht="82.5" customHeight="1">
      <c r="A8" s="320">
        <v>7</v>
      </c>
      <c r="B8" s="320">
        <v>673186</v>
      </c>
      <c r="C8" s="326" t="s">
        <v>1204</v>
      </c>
      <c r="D8" s="327" t="s">
        <v>921</v>
      </c>
      <c r="E8" s="320" t="s">
        <v>1205</v>
      </c>
      <c r="F8" s="320" t="s">
        <v>522</v>
      </c>
      <c r="G8" s="321" t="s">
        <v>1194</v>
      </c>
      <c r="H8" s="328" t="s">
        <v>1311</v>
      </c>
      <c r="I8" s="322" t="s">
        <v>1312</v>
      </c>
      <c r="J8" s="322"/>
      <c r="K8" s="323"/>
      <c r="L8" s="322"/>
      <c r="M8" s="322"/>
      <c r="N8" s="324"/>
      <c r="O8" s="324"/>
      <c r="P8" s="324"/>
      <c r="Q8" s="324"/>
      <c r="R8" s="324"/>
      <c r="S8" s="324"/>
      <c r="T8" s="324"/>
      <c r="U8" s="324"/>
    </row>
    <row r="9" spans="1:21" s="292" customFormat="1" ht="29.25" customHeight="1">
      <c r="A9" s="286">
        <v>8</v>
      </c>
      <c r="B9" s="286">
        <v>671171</v>
      </c>
      <c r="C9" s="296" t="s">
        <v>1206</v>
      </c>
      <c r="D9" s="286" t="s">
        <v>1192</v>
      </c>
      <c r="E9" s="308" t="s">
        <v>1207</v>
      </c>
      <c r="F9" s="286" t="s">
        <v>523</v>
      </c>
      <c r="G9" s="309" t="s">
        <v>1194</v>
      </c>
      <c r="H9" s="286" t="s">
        <v>503</v>
      </c>
      <c r="I9" s="290" t="s">
        <v>1282</v>
      </c>
      <c r="J9" s="290"/>
      <c r="K9" s="310" t="s">
        <v>1281</v>
      </c>
      <c r="L9" s="290" t="s">
        <v>988</v>
      </c>
      <c r="M9" s="290"/>
      <c r="N9" s="291"/>
      <c r="O9" s="291"/>
      <c r="P9" s="291"/>
      <c r="Q9" s="291"/>
      <c r="R9" s="291"/>
      <c r="S9" s="291"/>
      <c r="T9" s="291"/>
      <c r="U9" s="291"/>
    </row>
    <row r="10" spans="1:21" s="292" customFormat="1" ht="54" customHeight="1">
      <c r="A10" s="286">
        <v>9</v>
      </c>
      <c r="B10" s="286">
        <v>671175</v>
      </c>
      <c r="C10" s="317" t="s">
        <v>1208</v>
      </c>
      <c r="D10" s="286" t="s">
        <v>1192</v>
      </c>
      <c r="E10" s="308" t="s">
        <v>1209</v>
      </c>
      <c r="F10" s="286" t="s">
        <v>523</v>
      </c>
      <c r="G10" s="309" t="s">
        <v>1194</v>
      </c>
      <c r="H10" s="286" t="s">
        <v>503</v>
      </c>
      <c r="I10" s="290" t="s">
        <v>1308</v>
      </c>
      <c r="J10" s="290"/>
      <c r="K10" s="289" t="s">
        <v>1309</v>
      </c>
      <c r="L10" s="290" t="s">
        <v>1310</v>
      </c>
      <c r="M10" s="290"/>
      <c r="N10" s="291"/>
      <c r="O10" s="291"/>
      <c r="P10" s="291"/>
      <c r="Q10" s="291"/>
      <c r="R10" s="291"/>
      <c r="S10" s="291"/>
      <c r="T10" s="291"/>
      <c r="U10" s="291"/>
    </row>
    <row r="11" spans="1:21" s="265" customFormat="1" ht="54" customHeight="1">
      <c r="A11" s="266">
        <v>10</v>
      </c>
      <c r="B11" s="266">
        <v>671177</v>
      </c>
      <c r="C11" s="273" t="s">
        <v>1210</v>
      </c>
      <c r="D11" s="266" t="s">
        <v>1192</v>
      </c>
      <c r="E11" s="274" t="s">
        <v>1211</v>
      </c>
      <c r="F11" s="266" t="s">
        <v>526</v>
      </c>
      <c r="G11" s="268" t="s">
        <v>1194</v>
      </c>
      <c r="H11" s="266"/>
      <c r="I11" s="280"/>
      <c r="J11" s="280"/>
      <c r="K11" s="285"/>
      <c r="L11" s="280"/>
      <c r="M11" s="280"/>
      <c r="N11" s="258"/>
      <c r="O11" s="258"/>
      <c r="P11" s="258"/>
      <c r="Q11" s="258"/>
      <c r="R11" s="258"/>
      <c r="S11" s="258"/>
      <c r="T11" s="258"/>
      <c r="U11" s="258"/>
    </row>
    <row r="12" spans="1:21" s="265" customFormat="1" ht="29.25" customHeight="1">
      <c r="A12" s="266">
        <v>11</v>
      </c>
      <c r="B12" s="266">
        <v>671195</v>
      </c>
      <c r="C12" s="275" t="s">
        <v>1212</v>
      </c>
      <c r="D12" s="266" t="s">
        <v>1192</v>
      </c>
      <c r="E12" s="274" t="s">
        <v>1213</v>
      </c>
      <c r="F12" s="266" t="s">
        <v>526</v>
      </c>
      <c r="G12" s="268" t="s">
        <v>1194</v>
      </c>
      <c r="H12" s="266"/>
      <c r="I12" s="280"/>
      <c r="J12" s="280"/>
      <c r="K12" s="285"/>
      <c r="L12" s="280"/>
      <c r="M12" s="280"/>
      <c r="N12" s="258"/>
      <c r="O12" s="258"/>
      <c r="P12" s="258"/>
      <c r="Q12" s="258"/>
      <c r="R12" s="258"/>
      <c r="S12" s="258"/>
      <c r="T12" s="258"/>
      <c r="U12" s="258"/>
    </row>
    <row r="13" spans="1:21" s="265" customFormat="1" ht="29.25" customHeight="1">
      <c r="A13" s="266">
        <v>12</v>
      </c>
      <c r="B13" s="266">
        <v>672193</v>
      </c>
      <c r="C13" s="275" t="s">
        <v>1214</v>
      </c>
      <c r="D13" s="276" t="s">
        <v>910</v>
      </c>
      <c r="E13" s="274" t="s">
        <v>1215</v>
      </c>
      <c r="F13" s="266" t="s">
        <v>526</v>
      </c>
      <c r="G13" s="268" t="s">
        <v>1194</v>
      </c>
      <c r="H13" s="266"/>
      <c r="I13" s="280"/>
      <c r="J13" s="280"/>
      <c r="K13" s="285"/>
      <c r="L13" s="280"/>
      <c r="M13" s="280"/>
      <c r="N13" s="258"/>
      <c r="O13" s="258"/>
      <c r="P13" s="258"/>
      <c r="Q13" s="258"/>
      <c r="R13" s="258"/>
      <c r="S13" s="258"/>
      <c r="T13" s="258"/>
      <c r="U13" s="258"/>
    </row>
    <row r="14" spans="1:21" s="292" customFormat="1" ht="57" customHeight="1">
      <c r="A14" s="286">
        <v>13</v>
      </c>
      <c r="B14" s="286">
        <v>671188</v>
      </c>
      <c r="C14" s="313" t="s">
        <v>1216</v>
      </c>
      <c r="D14" s="286" t="s">
        <v>1192</v>
      </c>
      <c r="E14" s="308" t="s">
        <v>1217</v>
      </c>
      <c r="F14" s="286" t="s">
        <v>521</v>
      </c>
      <c r="G14" s="309" t="s">
        <v>1194</v>
      </c>
      <c r="H14" s="295" t="s">
        <v>503</v>
      </c>
      <c r="I14" s="290"/>
      <c r="J14" s="290"/>
      <c r="K14" s="289" t="s">
        <v>1474</v>
      </c>
      <c r="L14" s="290" t="s">
        <v>988</v>
      </c>
      <c r="M14" s="290"/>
      <c r="N14" s="291"/>
      <c r="O14" s="291"/>
      <c r="P14" s="291"/>
      <c r="Q14" s="291"/>
      <c r="R14" s="291"/>
      <c r="S14" s="291"/>
      <c r="T14" s="291"/>
      <c r="U14" s="291"/>
    </row>
    <row r="15" spans="1:21" s="265" customFormat="1" ht="54" customHeight="1">
      <c r="A15" s="266">
        <v>14</v>
      </c>
      <c r="B15" s="266">
        <v>671194</v>
      </c>
      <c r="C15" s="273" t="s">
        <v>1218</v>
      </c>
      <c r="D15" s="266" t="s">
        <v>1192</v>
      </c>
      <c r="E15" s="274" t="s">
        <v>1219</v>
      </c>
      <c r="F15" s="266" t="s">
        <v>521</v>
      </c>
      <c r="G15" s="268" t="s">
        <v>1194</v>
      </c>
      <c r="H15" s="266"/>
      <c r="I15" s="280"/>
      <c r="J15" s="280"/>
      <c r="K15" s="285"/>
      <c r="L15" s="280"/>
      <c r="M15" s="280"/>
      <c r="N15" s="258"/>
      <c r="O15" s="258"/>
      <c r="P15" s="258"/>
      <c r="Q15" s="258"/>
      <c r="R15" s="258"/>
      <c r="S15" s="258"/>
      <c r="T15" s="258"/>
      <c r="U15" s="258"/>
    </row>
    <row r="16" spans="1:21" s="292" customFormat="1" ht="29.25" customHeight="1">
      <c r="A16" s="286">
        <v>15</v>
      </c>
      <c r="B16" s="286">
        <v>672161</v>
      </c>
      <c r="C16" s="313" t="s">
        <v>1220</v>
      </c>
      <c r="D16" s="318" t="s">
        <v>910</v>
      </c>
      <c r="E16" s="308" t="s">
        <v>1221</v>
      </c>
      <c r="F16" s="286" t="s">
        <v>521</v>
      </c>
      <c r="G16" s="309" t="s">
        <v>1194</v>
      </c>
      <c r="H16" s="286" t="s">
        <v>503</v>
      </c>
      <c r="I16" s="290" t="s">
        <v>1433</v>
      </c>
      <c r="J16" s="290"/>
      <c r="K16" s="310" t="s">
        <v>1432</v>
      </c>
      <c r="L16" s="290" t="s">
        <v>1321</v>
      </c>
      <c r="M16" s="290"/>
      <c r="N16" s="291"/>
      <c r="O16" s="291"/>
      <c r="P16" s="291"/>
      <c r="Q16" s="291"/>
      <c r="R16" s="291"/>
      <c r="S16" s="291"/>
      <c r="T16" s="291"/>
      <c r="U16" s="291"/>
    </row>
    <row r="17" spans="1:21" s="292" customFormat="1" ht="72.75" customHeight="1">
      <c r="A17" s="286">
        <v>16</v>
      </c>
      <c r="B17" s="286">
        <v>672169</v>
      </c>
      <c r="C17" s="296" t="s">
        <v>1222</v>
      </c>
      <c r="D17" s="318" t="s">
        <v>910</v>
      </c>
      <c r="E17" s="308" t="s">
        <v>1223</v>
      </c>
      <c r="F17" s="286" t="s">
        <v>521</v>
      </c>
      <c r="G17" s="309" t="s">
        <v>1194</v>
      </c>
      <c r="H17" s="286" t="s">
        <v>503</v>
      </c>
      <c r="I17" s="290" t="s">
        <v>1315</v>
      </c>
      <c r="J17" s="290"/>
      <c r="K17" s="289" t="s">
        <v>1316</v>
      </c>
      <c r="L17" s="290" t="s">
        <v>988</v>
      </c>
      <c r="M17" s="290"/>
      <c r="N17" s="291"/>
      <c r="O17" s="291"/>
      <c r="P17" s="291"/>
      <c r="Q17" s="291"/>
      <c r="R17" s="291"/>
      <c r="S17" s="291"/>
      <c r="T17" s="291"/>
      <c r="U17" s="291"/>
    </row>
    <row r="18" spans="1:21" s="265" customFormat="1" ht="29.25" customHeight="1">
      <c r="A18" s="266">
        <v>17</v>
      </c>
      <c r="B18" s="266">
        <v>672190</v>
      </c>
      <c r="C18" s="277" t="s">
        <v>1224</v>
      </c>
      <c r="D18" s="276" t="s">
        <v>910</v>
      </c>
      <c r="E18" s="266" t="s">
        <v>1225</v>
      </c>
      <c r="F18" s="266" t="s">
        <v>521</v>
      </c>
      <c r="G18" s="268" t="s">
        <v>1194</v>
      </c>
      <c r="H18" s="266"/>
      <c r="I18" s="280"/>
      <c r="J18" s="280"/>
      <c r="K18" s="285"/>
      <c r="L18" s="280"/>
      <c r="M18" s="280"/>
      <c r="N18" s="258"/>
      <c r="O18" s="258"/>
      <c r="P18" s="258"/>
      <c r="Q18" s="258"/>
      <c r="R18" s="258"/>
      <c r="S18" s="258"/>
      <c r="T18" s="258"/>
      <c r="U18" s="258"/>
    </row>
    <row r="19" spans="1:21" s="292" customFormat="1" ht="29.25" customHeight="1">
      <c r="A19" s="286">
        <v>18</v>
      </c>
      <c r="B19" s="286">
        <v>673172</v>
      </c>
      <c r="C19" s="294" t="s">
        <v>1226</v>
      </c>
      <c r="D19" s="286" t="s">
        <v>921</v>
      </c>
      <c r="E19" s="286" t="s">
        <v>1227</v>
      </c>
      <c r="F19" s="286" t="s">
        <v>521</v>
      </c>
      <c r="G19" s="309" t="s">
        <v>1194</v>
      </c>
      <c r="H19" s="286" t="s">
        <v>503</v>
      </c>
      <c r="I19" s="293" t="s">
        <v>1319</v>
      </c>
      <c r="J19" s="290"/>
      <c r="K19" s="310" t="s">
        <v>1320</v>
      </c>
      <c r="L19" s="290" t="s">
        <v>1321</v>
      </c>
      <c r="M19" s="290"/>
      <c r="N19" s="291"/>
      <c r="O19" s="291"/>
      <c r="P19" s="291"/>
      <c r="Q19" s="291"/>
      <c r="R19" s="291"/>
      <c r="S19" s="291"/>
      <c r="T19" s="291"/>
      <c r="U19" s="291"/>
    </row>
    <row r="20" spans="1:21" s="292" customFormat="1" ht="177" customHeight="1">
      <c r="A20" s="286">
        <v>19</v>
      </c>
      <c r="B20" s="286">
        <v>673189</v>
      </c>
      <c r="C20" s="294" t="s">
        <v>1228</v>
      </c>
      <c r="D20" s="295" t="s">
        <v>921</v>
      </c>
      <c r="E20" s="286" t="s">
        <v>1229</v>
      </c>
      <c r="F20" s="286" t="s">
        <v>521</v>
      </c>
      <c r="G20" s="288" t="s">
        <v>1194</v>
      </c>
      <c r="H20" s="286" t="s">
        <v>503</v>
      </c>
      <c r="I20" s="290"/>
      <c r="J20" s="290"/>
      <c r="K20" s="289" t="s">
        <v>1300</v>
      </c>
      <c r="L20" s="290" t="s">
        <v>988</v>
      </c>
      <c r="N20" s="291"/>
      <c r="O20" s="291"/>
      <c r="P20" s="291"/>
      <c r="Q20" s="291"/>
      <c r="R20" s="291"/>
      <c r="S20" s="291"/>
      <c r="T20" s="291"/>
      <c r="U20" s="291"/>
    </row>
    <row r="21" spans="1:21" s="292" customFormat="1" ht="90.75" customHeight="1">
      <c r="A21" s="286">
        <v>20</v>
      </c>
      <c r="B21" s="286">
        <v>671184</v>
      </c>
      <c r="C21" s="287" t="s">
        <v>1230</v>
      </c>
      <c r="D21" s="286" t="s">
        <v>1192</v>
      </c>
      <c r="E21" s="286" t="s">
        <v>1231</v>
      </c>
      <c r="F21" s="286" t="s">
        <v>519</v>
      </c>
      <c r="G21" s="288" t="s">
        <v>1232</v>
      </c>
      <c r="H21" s="286" t="s">
        <v>503</v>
      </c>
      <c r="I21" s="290"/>
      <c r="J21" s="290"/>
      <c r="K21" s="289" t="s">
        <v>1080</v>
      </c>
      <c r="L21" s="290" t="s">
        <v>988</v>
      </c>
      <c r="M21" s="290"/>
      <c r="N21" s="291"/>
      <c r="O21" s="291"/>
      <c r="P21" s="291"/>
      <c r="Q21" s="291"/>
      <c r="R21" s="291"/>
      <c r="S21" s="291"/>
      <c r="T21" s="291"/>
      <c r="U21" s="291"/>
    </row>
    <row r="22" spans="1:21" s="292" customFormat="1" ht="73.5" customHeight="1">
      <c r="A22" s="286">
        <v>21</v>
      </c>
      <c r="B22" s="286">
        <v>672157</v>
      </c>
      <c r="C22" s="294" t="s">
        <v>1233</v>
      </c>
      <c r="D22" s="295" t="s">
        <v>910</v>
      </c>
      <c r="E22" s="286" t="s">
        <v>1234</v>
      </c>
      <c r="F22" s="286" t="s">
        <v>519</v>
      </c>
      <c r="G22" s="288" t="s">
        <v>1232</v>
      </c>
      <c r="H22" s="286" t="s">
        <v>503</v>
      </c>
      <c r="I22" s="290"/>
      <c r="J22" s="290"/>
      <c r="K22" s="289" t="s">
        <v>1080</v>
      </c>
      <c r="L22" s="290" t="s">
        <v>988</v>
      </c>
      <c r="M22" s="290"/>
      <c r="N22" s="291"/>
      <c r="O22" s="291"/>
      <c r="P22" s="291"/>
      <c r="Q22" s="291"/>
      <c r="R22" s="291"/>
      <c r="S22" s="291"/>
      <c r="T22" s="291"/>
      <c r="U22" s="291"/>
    </row>
    <row r="23" spans="1:21" s="292" customFormat="1" ht="59.25" customHeight="1">
      <c r="A23" s="286">
        <v>22</v>
      </c>
      <c r="B23" s="286">
        <v>672168</v>
      </c>
      <c r="C23" s="294" t="s">
        <v>1235</v>
      </c>
      <c r="D23" s="295" t="s">
        <v>910</v>
      </c>
      <c r="E23" s="295" t="s">
        <v>1236</v>
      </c>
      <c r="F23" s="286" t="s">
        <v>519</v>
      </c>
      <c r="G23" s="288" t="s">
        <v>1232</v>
      </c>
      <c r="H23" s="286" t="s">
        <v>503</v>
      </c>
      <c r="I23" s="293" t="s">
        <v>1421</v>
      </c>
      <c r="J23" s="290"/>
      <c r="K23" s="310" t="s">
        <v>1422</v>
      </c>
      <c r="L23" s="290" t="s">
        <v>1423</v>
      </c>
      <c r="M23" s="290"/>
      <c r="N23" s="291"/>
      <c r="O23" s="291"/>
      <c r="P23" s="291"/>
      <c r="Q23" s="291"/>
      <c r="R23" s="291"/>
      <c r="S23" s="291"/>
      <c r="T23" s="291"/>
      <c r="U23" s="291"/>
    </row>
    <row r="24" spans="1:21" s="292" customFormat="1" ht="87.75" customHeight="1">
      <c r="A24" s="286">
        <v>23</v>
      </c>
      <c r="B24" s="286">
        <v>673191</v>
      </c>
      <c r="C24" s="296" t="s">
        <v>1237</v>
      </c>
      <c r="D24" s="295" t="s">
        <v>921</v>
      </c>
      <c r="E24" s="340" t="s">
        <v>1238</v>
      </c>
      <c r="F24" s="286" t="s">
        <v>519</v>
      </c>
      <c r="G24" s="288" t="s">
        <v>1232</v>
      </c>
      <c r="H24" s="286" t="s">
        <v>503</v>
      </c>
      <c r="I24" s="290" t="s">
        <v>1604</v>
      </c>
      <c r="J24" s="290"/>
      <c r="K24" s="289" t="s">
        <v>1599</v>
      </c>
      <c r="L24" s="290" t="s">
        <v>988</v>
      </c>
      <c r="M24" s="290"/>
      <c r="N24" s="339" t="s">
        <v>1597</v>
      </c>
      <c r="O24" s="291"/>
      <c r="P24" s="291"/>
      <c r="Q24" s="291"/>
      <c r="R24" s="291"/>
      <c r="S24" s="291"/>
      <c r="T24" s="291"/>
      <c r="U24" s="291"/>
    </row>
    <row r="25" spans="1:21" s="292" customFormat="1" ht="107.25" customHeight="1">
      <c r="A25" s="286">
        <v>24</v>
      </c>
      <c r="B25" s="286">
        <v>671155</v>
      </c>
      <c r="C25" s="294" t="s">
        <v>1239</v>
      </c>
      <c r="D25" s="295" t="s">
        <v>1192</v>
      </c>
      <c r="E25" s="286" t="s">
        <v>1240</v>
      </c>
      <c r="F25" s="286" t="s">
        <v>525</v>
      </c>
      <c r="G25" s="288" t="s">
        <v>1232</v>
      </c>
      <c r="H25" s="286" t="s">
        <v>503</v>
      </c>
      <c r="I25" s="290"/>
      <c r="J25" s="290"/>
      <c r="K25" s="289" t="s">
        <v>1268</v>
      </c>
      <c r="L25" s="290" t="s">
        <v>988</v>
      </c>
      <c r="M25" s="290"/>
      <c r="N25" s="291"/>
      <c r="O25" s="291"/>
      <c r="P25" s="291"/>
      <c r="Q25" s="291"/>
      <c r="R25" s="291"/>
      <c r="S25" s="291"/>
      <c r="T25" s="291"/>
      <c r="U25" s="291"/>
    </row>
    <row r="26" spans="1:21" s="292" customFormat="1" ht="84" customHeight="1">
      <c r="A26" s="286">
        <v>25</v>
      </c>
      <c r="B26" s="286">
        <v>672156</v>
      </c>
      <c r="C26" s="294" t="s">
        <v>1241</v>
      </c>
      <c r="D26" s="295" t="s">
        <v>910</v>
      </c>
      <c r="E26" s="286" t="s">
        <v>1242</v>
      </c>
      <c r="F26" s="286" t="s">
        <v>525</v>
      </c>
      <c r="G26" s="288" t="s">
        <v>1232</v>
      </c>
      <c r="H26" s="286" t="s">
        <v>503</v>
      </c>
      <c r="I26" s="293" t="s">
        <v>1280</v>
      </c>
      <c r="J26" s="290"/>
      <c r="K26" s="289" t="s">
        <v>1279</v>
      </c>
      <c r="L26" s="290" t="s">
        <v>988</v>
      </c>
      <c r="M26" s="290"/>
      <c r="N26" s="291"/>
      <c r="O26" s="291"/>
      <c r="P26" s="291"/>
      <c r="Q26" s="291"/>
      <c r="R26" s="291"/>
      <c r="S26" s="291"/>
      <c r="T26" s="291"/>
      <c r="U26" s="291"/>
    </row>
    <row r="27" spans="1:21" s="292" customFormat="1" ht="29.25" customHeight="1">
      <c r="A27" s="286">
        <v>26</v>
      </c>
      <c r="B27" s="286">
        <v>672178</v>
      </c>
      <c r="C27" s="287" t="s">
        <v>1243</v>
      </c>
      <c r="D27" s="286" t="s">
        <v>910</v>
      </c>
      <c r="E27" s="286" t="s">
        <v>1244</v>
      </c>
      <c r="F27" s="286" t="s">
        <v>525</v>
      </c>
      <c r="G27" s="288" t="s">
        <v>1232</v>
      </c>
      <c r="H27" s="286" t="s">
        <v>503</v>
      </c>
      <c r="I27" s="290" t="s">
        <v>1317</v>
      </c>
      <c r="J27" s="290"/>
      <c r="K27" s="310" t="s">
        <v>1318</v>
      </c>
      <c r="L27" s="290" t="s">
        <v>988</v>
      </c>
      <c r="M27" s="290"/>
      <c r="N27" s="291"/>
      <c r="O27" s="291"/>
      <c r="P27" s="291"/>
      <c r="Q27" s="291"/>
      <c r="R27" s="291"/>
      <c r="S27" s="291"/>
      <c r="T27" s="291"/>
      <c r="U27" s="291"/>
    </row>
    <row r="28" spans="1:21" s="292" customFormat="1" ht="29.25" customHeight="1">
      <c r="A28" s="329">
        <v>27</v>
      </c>
      <c r="B28" s="329">
        <v>672182</v>
      </c>
      <c r="C28" s="330" t="s">
        <v>1245</v>
      </c>
      <c r="D28" s="329" t="s">
        <v>910</v>
      </c>
      <c r="E28" s="329" t="s">
        <v>1246</v>
      </c>
      <c r="F28" s="329" t="s">
        <v>525</v>
      </c>
      <c r="G28" s="331" t="s">
        <v>1232</v>
      </c>
      <c r="H28" s="286" t="s">
        <v>503</v>
      </c>
      <c r="I28" s="290" t="s">
        <v>1424</v>
      </c>
      <c r="J28" s="290"/>
      <c r="K28" s="310" t="s">
        <v>1301</v>
      </c>
      <c r="L28" s="290" t="s">
        <v>988</v>
      </c>
      <c r="M28" s="290"/>
      <c r="N28" s="291"/>
      <c r="O28" s="291"/>
      <c r="P28" s="291"/>
      <c r="Q28" s="291"/>
      <c r="R28" s="291"/>
      <c r="S28" s="291"/>
      <c r="T28" s="291"/>
      <c r="U28" s="291"/>
    </row>
    <row r="29" spans="1:21" s="292" customFormat="1" ht="56.25" customHeight="1">
      <c r="A29" s="286">
        <v>28</v>
      </c>
      <c r="B29" s="286">
        <v>671159</v>
      </c>
      <c r="C29" s="294" t="s">
        <v>1247</v>
      </c>
      <c r="D29" s="286" t="s">
        <v>1192</v>
      </c>
      <c r="E29" s="286" t="s">
        <v>1248</v>
      </c>
      <c r="F29" s="286" t="s">
        <v>524</v>
      </c>
      <c r="G29" s="288" t="s">
        <v>1232</v>
      </c>
      <c r="H29" s="286" t="s">
        <v>503</v>
      </c>
      <c r="I29" s="290" t="s">
        <v>1425</v>
      </c>
      <c r="J29" s="290"/>
      <c r="K29" s="289" t="s">
        <v>1267</v>
      </c>
      <c r="L29" s="290" t="s">
        <v>988</v>
      </c>
      <c r="M29" s="290"/>
      <c r="N29" s="291"/>
      <c r="O29" s="291"/>
      <c r="P29" s="291"/>
      <c r="Q29" s="291"/>
      <c r="R29" s="291"/>
      <c r="S29" s="291"/>
      <c r="T29" s="291"/>
      <c r="U29" s="291"/>
    </row>
    <row r="30" spans="1:21" s="292" customFormat="1" ht="69.75" customHeight="1">
      <c r="A30" s="286">
        <v>29</v>
      </c>
      <c r="B30" s="290">
        <v>671166</v>
      </c>
      <c r="C30" s="296" t="s">
        <v>1249</v>
      </c>
      <c r="D30" s="286" t="s">
        <v>1192</v>
      </c>
      <c r="E30" s="308" t="s">
        <v>1075</v>
      </c>
      <c r="F30" s="286" t="s">
        <v>524</v>
      </c>
      <c r="G30" s="288" t="s">
        <v>1232</v>
      </c>
      <c r="H30" s="286" t="s">
        <v>503</v>
      </c>
      <c r="I30" s="293" t="s">
        <v>1286</v>
      </c>
      <c r="J30" s="290"/>
      <c r="K30" s="289" t="s">
        <v>1285</v>
      </c>
      <c r="L30" s="290" t="s">
        <v>1283</v>
      </c>
      <c r="M30" s="290"/>
      <c r="N30" s="291"/>
      <c r="O30" s="291"/>
      <c r="P30" s="291"/>
      <c r="Q30" s="291"/>
      <c r="R30" s="291"/>
      <c r="S30" s="291"/>
      <c r="T30" s="291"/>
      <c r="U30" s="291"/>
    </row>
    <row r="31" spans="1:21" s="292" customFormat="1" ht="55.5" customHeight="1">
      <c r="A31" s="286">
        <v>30</v>
      </c>
      <c r="B31" s="286">
        <v>671181</v>
      </c>
      <c r="C31" s="287" t="s">
        <v>1250</v>
      </c>
      <c r="D31" s="286" t="s">
        <v>1192</v>
      </c>
      <c r="E31" s="286" t="s">
        <v>1251</v>
      </c>
      <c r="F31" s="286" t="s">
        <v>524</v>
      </c>
      <c r="G31" s="288" t="s">
        <v>1232</v>
      </c>
      <c r="H31" s="286" t="s">
        <v>503</v>
      </c>
      <c r="I31" s="290" t="s">
        <v>1307</v>
      </c>
      <c r="J31" s="290"/>
      <c r="K31" s="289" t="s">
        <v>1301</v>
      </c>
      <c r="L31" s="290" t="s">
        <v>988</v>
      </c>
      <c r="M31" s="290"/>
      <c r="N31" s="291"/>
      <c r="O31" s="291"/>
      <c r="P31" s="291"/>
      <c r="Q31" s="291"/>
      <c r="R31" s="291"/>
      <c r="S31" s="291"/>
      <c r="T31" s="291"/>
      <c r="U31" s="291"/>
    </row>
    <row r="32" spans="1:21" s="265" customFormat="1" ht="56.25" customHeight="1">
      <c r="A32" s="266">
        <v>31</v>
      </c>
      <c r="B32" s="266">
        <v>671192</v>
      </c>
      <c r="C32" s="278" t="s">
        <v>1252</v>
      </c>
      <c r="D32" s="266" t="s">
        <v>1192</v>
      </c>
      <c r="E32" s="266" t="s">
        <v>1253</v>
      </c>
      <c r="F32" s="266" t="s">
        <v>524</v>
      </c>
      <c r="G32" s="279" t="s">
        <v>1232</v>
      </c>
      <c r="H32" s="266"/>
      <c r="I32" s="280"/>
      <c r="J32" s="280"/>
      <c r="K32" s="285"/>
      <c r="L32" s="280"/>
      <c r="M32" s="280"/>
      <c r="N32" s="258"/>
      <c r="O32" s="258"/>
      <c r="P32" s="258"/>
      <c r="Q32" s="258"/>
      <c r="R32" s="258"/>
      <c r="S32" s="258"/>
      <c r="T32" s="258"/>
      <c r="U32" s="258"/>
    </row>
    <row r="33" spans="1:21" s="292" customFormat="1" ht="75" customHeight="1">
      <c r="A33" s="286">
        <v>32</v>
      </c>
      <c r="B33" s="286">
        <v>672158</v>
      </c>
      <c r="C33" s="287" t="s">
        <v>1254</v>
      </c>
      <c r="D33" s="286" t="s">
        <v>910</v>
      </c>
      <c r="E33" s="286" t="s">
        <v>1255</v>
      </c>
      <c r="F33" s="286" t="s">
        <v>524</v>
      </c>
      <c r="G33" s="288" t="s">
        <v>1232</v>
      </c>
      <c r="H33" s="286" t="s">
        <v>503</v>
      </c>
      <c r="I33" s="293">
        <v>243678</v>
      </c>
      <c r="J33" s="290" t="s">
        <v>1266</v>
      </c>
      <c r="K33" s="289" t="s">
        <v>1265</v>
      </c>
      <c r="L33" s="290" t="s">
        <v>988</v>
      </c>
      <c r="M33" s="290" t="s">
        <v>1266</v>
      </c>
      <c r="N33" s="291"/>
      <c r="O33" s="291"/>
      <c r="P33" s="291"/>
      <c r="Q33" s="291"/>
      <c r="R33" s="291"/>
      <c r="S33" s="291"/>
      <c r="T33" s="291"/>
      <c r="U33" s="291"/>
    </row>
    <row r="34" spans="1:21" s="292" customFormat="1" ht="165.75" customHeight="1">
      <c r="A34" s="286">
        <v>33</v>
      </c>
      <c r="B34" s="286">
        <v>672163</v>
      </c>
      <c r="C34" s="313" t="s">
        <v>1256</v>
      </c>
      <c r="D34" s="286" t="s">
        <v>910</v>
      </c>
      <c r="E34" s="286" t="s">
        <v>1257</v>
      </c>
      <c r="F34" s="286" t="s">
        <v>524</v>
      </c>
      <c r="G34" s="288" t="s">
        <v>1232</v>
      </c>
      <c r="H34" s="286" t="s">
        <v>503</v>
      </c>
      <c r="I34" s="293">
        <v>24664</v>
      </c>
      <c r="J34" s="290"/>
      <c r="K34" s="289" t="s">
        <v>1287</v>
      </c>
      <c r="L34" s="290" t="s">
        <v>988</v>
      </c>
      <c r="M34" s="290"/>
      <c r="N34" s="291"/>
      <c r="O34" s="291"/>
      <c r="P34" s="291"/>
      <c r="Q34" s="291"/>
      <c r="R34" s="291"/>
      <c r="S34" s="291"/>
      <c r="T34" s="291"/>
      <c r="U34" s="291"/>
    </row>
    <row r="35" spans="1:21" s="292" customFormat="1" ht="163.5" customHeight="1">
      <c r="A35" s="286">
        <v>34</v>
      </c>
      <c r="B35" s="286">
        <v>672164</v>
      </c>
      <c r="C35" s="296" t="s">
        <v>1258</v>
      </c>
      <c r="D35" s="295" t="s">
        <v>910</v>
      </c>
      <c r="E35" s="286" t="s">
        <v>1259</v>
      </c>
      <c r="F35" s="286" t="s">
        <v>524</v>
      </c>
      <c r="G35" s="288" t="s">
        <v>1232</v>
      </c>
      <c r="H35" s="286" t="s">
        <v>503</v>
      </c>
      <c r="I35" s="293">
        <v>24571</v>
      </c>
      <c r="J35" s="290"/>
      <c r="K35" s="289" t="s">
        <v>1271</v>
      </c>
      <c r="L35" s="290" t="s">
        <v>1272</v>
      </c>
      <c r="M35" s="290"/>
      <c r="N35" s="291"/>
      <c r="O35" s="291"/>
      <c r="P35" s="291"/>
      <c r="Q35" s="291"/>
      <c r="R35" s="291"/>
      <c r="S35" s="291"/>
      <c r="T35" s="291"/>
      <c r="U35" s="291"/>
    </row>
    <row r="36" spans="1:21" s="292" customFormat="1" ht="58.5" customHeight="1">
      <c r="A36" s="286">
        <v>35</v>
      </c>
      <c r="B36" s="290">
        <v>672170</v>
      </c>
      <c r="C36" s="311" t="s">
        <v>1260</v>
      </c>
      <c r="D36" s="312" t="s">
        <v>910</v>
      </c>
      <c r="E36" s="290" t="s">
        <v>1261</v>
      </c>
      <c r="F36" s="290" t="s">
        <v>524</v>
      </c>
      <c r="G36" s="288" t="s">
        <v>1232</v>
      </c>
      <c r="H36" s="286" t="s">
        <v>503</v>
      </c>
      <c r="I36" s="293">
        <v>24664</v>
      </c>
      <c r="J36" s="290"/>
      <c r="K36" s="310" t="s">
        <v>1302</v>
      </c>
      <c r="L36" s="290" t="s">
        <v>988</v>
      </c>
      <c r="M36" s="290"/>
      <c r="N36" s="291"/>
      <c r="O36" s="291"/>
      <c r="P36" s="291"/>
      <c r="Q36" s="291"/>
      <c r="R36" s="291"/>
      <c r="S36" s="291"/>
      <c r="T36" s="291"/>
      <c r="U36" s="291"/>
    </row>
    <row r="37" spans="1:21" s="292" customFormat="1" ht="58.5" customHeight="1">
      <c r="A37" s="286">
        <v>36</v>
      </c>
      <c r="B37" s="290">
        <v>672187</v>
      </c>
      <c r="C37" s="311" t="s">
        <v>1262</v>
      </c>
      <c r="D37" s="312" t="s">
        <v>910</v>
      </c>
      <c r="E37" s="290" t="s">
        <v>1263</v>
      </c>
      <c r="F37" s="290" t="s">
        <v>524</v>
      </c>
      <c r="G37" s="288" t="s">
        <v>1232</v>
      </c>
      <c r="H37" s="286" t="s">
        <v>503</v>
      </c>
      <c r="I37" s="293">
        <v>24725</v>
      </c>
      <c r="J37" s="290"/>
      <c r="K37" s="310" t="s">
        <v>1298</v>
      </c>
      <c r="L37" s="290" t="s">
        <v>1133</v>
      </c>
      <c r="M37" s="290"/>
      <c r="N37" s="291"/>
      <c r="O37" s="291"/>
      <c r="P37" s="291"/>
      <c r="Q37" s="291"/>
      <c r="R37" s="291"/>
      <c r="S37" s="291"/>
      <c r="T37" s="291"/>
      <c r="U37" s="291"/>
    </row>
    <row r="38" spans="1:21" s="292" customFormat="1" ht="87" customHeight="1">
      <c r="A38" s="286">
        <v>37</v>
      </c>
      <c r="B38" s="290">
        <v>671176</v>
      </c>
      <c r="C38" s="311" t="s">
        <v>1264</v>
      </c>
      <c r="D38" s="290" t="s">
        <v>1192</v>
      </c>
      <c r="E38" s="290" t="s">
        <v>730</v>
      </c>
      <c r="F38" s="290" t="s">
        <v>520</v>
      </c>
      <c r="G38" s="288" t="s">
        <v>1232</v>
      </c>
      <c r="H38" s="286" t="s">
        <v>503</v>
      </c>
      <c r="I38" s="293">
        <v>24658</v>
      </c>
      <c r="J38" s="290"/>
      <c r="K38" s="289" t="s">
        <v>1284</v>
      </c>
      <c r="L38" s="290" t="s">
        <v>1283</v>
      </c>
      <c r="M38" s="290"/>
      <c r="N38" s="291"/>
      <c r="O38" s="291"/>
      <c r="P38" s="291"/>
      <c r="Q38" s="291"/>
      <c r="R38" s="291"/>
      <c r="S38" s="291"/>
      <c r="T38" s="291"/>
      <c r="U38" s="291"/>
    </row>
    <row r="39" spans="1:21" ht="29.25" customHeight="1">
      <c r="A39" s="258"/>
      <c r="B39" s="256"/>
      <c r="C39" s="270"/>
      <c r="D39" s="256"/>
      <c r="E39" s="223"/>
      <c r="G39" s="223"/>
      <c r="H39" s="281"/>
      <c r="I39" s="256"/>
      <c r="J39" s="256"/>
      <c r="K39" s="258"/>
      <c r="L39" s="256"/>
      <c r="M39" s="256"/>
      <c r="N39" s="258"/>
      <c r="O39" s="258"/>
      <c r="P39" s="258"/>
      <c r="Q39" s="258"/>
      <c r="R39" s="258"/>
      <c r="S39" s="258"/>
      <c r="T39" s="258"/>
      <c r="U39" s="258"/>
    </row>
    <row r="40" spans="1:21" ht="29.25" customHeight="1">
      <c r="A40" s="258"/>
      <c r="B40" s="256"/>
      <c r="C40" s="270"/>
      <c r="D40" s="256"/>
      <c r="E40" s="256"/>
      <c r="F40" s="256"/>
      <c r="G40" s="257"/>
      <c r="H40" s="281"/>
      <c r="I40" s="256"/>
      <c r="J40" s="256"/>
      <c r="K40" s="258"/>
      <c r="L40" s="256"/>
      <c r="M40" s="256"/>
      <c r="N40" s="258"/>
      <c r="O40" s="258"/>
      <c r="P40" s="258"/>
      <c r="Q40" s="258"/>
      <c r="R40" s="258"/>
      <c r="S40" s="258"/>
      <c r="T40" s="258"/>
      <c r="U40" s="258"/>
    </row>
    <row r="41" spans="1:21" ht="29.25" customHeight="1">
      <c r="A41" s="258"/>
      <c r="B41" s="256"/>
      <c r="C41" s="270"/>
      <c r="D41" s="256"/>
      <c r="E41" s="256"/>
      <c r="F41" s="256"/>
      <c r="G41" s="256"/>
      <c r="H41" s="281"/>
      <c r="I41" s="256"/>
      <c r="J41" s="256"/>
      <c r="K41" s="258"/>
      <c r="L41" s="256"/>
      <c r="M41" s="256"/>
      <c r="N41" s="258"/>
      <c r="O41" s="258"/>
      <c r="P41" s="258"/>
      <c r="Q41" s="258"/>
      <c r="R41" s="258"/>
      <c r="S41" s="258"/>
      <c r="T41" s="258"/>
      <c r="U41" s="258"/>
    </row>
    <row r="42" spans="1:21" ht="29.25" customHeight="1">
      <c r="A42" s="258"/>
      <c r="B42" s="256"/>
      <c r="C42" s="270"/>
      <c r="D42" s="256"/>
      <c r="E42" s="256"/>
      <c r="F42" s="256"/>
      <c r="G42" s="256"/>
      <c r="H42" s="281"/>
      <c r="I42" s="256"/>
      <c r="J42" s="256"/>
      <c r="K42" s="258"/>
      <c r="L42" s="256"/>
      <c r="M42" s="256"/>
      <c r="N42" s="258"/>
      <c r="O42" s="258"/>
      <c r="P42" s="258"/>
      <c r="Q42" s="258"/>
      <c r="R42" s="258"/>
      <c r="S42" s="258"/>
      <c r="T42" s="258"/>
      <c r="U42" s="258"/>
    </row>
    <row r="43" spans="1:21" ht="29.25" customHeight="1">
      <c r="A43" s="258"/>
      <c r="B43" s="256"/>
      <c r="C43" s="270"/>
      <c r="D43" s="256"/>
      <c r="E43" s="256"/>
      <c r="F43" s="256"/>
      <c r="G43" s="256"/>
      <c r="H43" s="281"/>
      <c r="I43" s="256"/>
      <c r="J43" s="256"/>
      <c r="K43" s="258"/>
      <c r="L43" s="256"/>
      <c r="M43" s="256"/>
      <c r="N43" s="258"/>
      <c r="O43" s="258"/>
      <c r="P43" s="258"/>
      <c r="Q43" s="258"/>
      <c r="R43" s="258"/>
      <c r="S43" s="258"/>
      <c r="T43" s="258"/>
      <c r="U43" s="258"/>
    </row>
    <row r="44" spans="1:21" ht="29.25" customHeight="1">
      <c r="A44" s="258"/>
      <c r="B44" s="256"/>
      <c r="C44" s="270"/>
      <c r="D44" s="256"/>
      <c r="E44" s="256"/>
      <c r="F44" s="256"/>
      <c r="G44" s="256"/>
      <c r="H44" s="281"/>
      <c r="I44" s="256"/>
      <c r="J44" s="256"/>
      <c r="K44" s="258"/>
      <c r="L44" s="256"/>
      <c r="M44" s="256"/>
      <c r="N44" s="258"/>
      <c r="O44" s="258"/>
      <c r="P44" s="258"/>
      <c r="Q44" s="258"/>
      <c r="R44" s="258"/>
      <c r="S44" s="258"/>
      <c r="T44" s="258"/>
      <c r="U44" s="258"/>
    </row>
    <row r="45" spans="1:21" ht="29.25" customHeight="1">
      <c r="A45" s="258"/>
      <c r="B45" s="256"/>
      <c r="C45" s="270"/>
      <c r="D45" s="256"/>
      <c r="E45" s="256"/>
      <c r="F45" s="256"/>
      <c r="G45" s="256"/>
      <c r="H45" s="281"/>
      <c r="I45" s="256"/>
      <c r="J45" s="256"/>
      <c r="K45" s="258"/>
      <c r="L45" s="256"/>
      <c r="M45" s="256"/>
      <c r="N45" s="258"/>
      <c r="O45" s="258"/>
      <c r="P45" s="258"/>
      <c r="Q45" s="258"/>
      <c r="R45" s="258"/>
      <c r="S45" s="258"/>
      <c r="T45" s="258"/>
      <c r="U45" s="258"/>
    </row>
    <row r="46" spans="1:21" ht="29.25" customHeight="1">
      <c r="A46" s="258"/>
      <c r="B46" s="256"/>
      <c r="C46" s="270"/>
      <c r="D46" s="256"/>
      <c r="E46" s="256"/>
      <c r="F46" s="256"/>
      <c r="G46" s="256"/>
      <c r="H46" s="281"/>
      <c r="I46" s="256"/>
      <c r="J46" s="256"/>
      <c r="K46" s="258"/>
      <c r="L46" s="256"/>
      <c r="M46" s="256"/>
      <c r="N46" s="258"/>
      <c r="O46" s="258"/>
      <c r="P46" s="258"/>
      <c r="Q46" s="258"/>
      <c r="R46" s="258"/>
      <c r="S46" s="258"/>
      <c r="T46" s="258"/>
      <c r="U46" s="258"/>
    </row>
    <row r="47" spans="1:21" ht="29.25" customHeight="1">
      <c r="A47" s="258"/>
      <c r="B47" s="256"/>
      <c r="C47" s="270"/>
      <c r="D47" s="256"/>
      <c r="E47" s="256"/>
      <c r="F47" s="256"/>
      <c r="G47" s="256"/>
      <c r="H47" s="281"/>
      <c r="I47" s="256"/>
      <c r="J47" s="256"/>
      <c r="K47" s="258"/>
      <c r="L47" s="256"/>
      <c r="M47" s="256"/>
      <c r="N47" s="258"/>
      <c r="O47" s="258"/>
      <c r="P47" s="258"/>
      <c r="Q47" s="258"/>
      <c r="R47" s="258"/>
      <c r="S47" s="258"/>
      <c r="T47" s="258"/>
      <c r="U47" s="258"/>
    </row>
    <row r="48" spans="1:21" ht="29.25" customHeight="1">
      <c r="A48" s="258"/>
      <c r="B48" s="256"/>
      <c r="C48" s="270"/>
      <c r="D48" s="256"/>
      <c r="E48" s="256"/>
      <c r="F48" s="256"/>
      <c r="G48" s="256"/>
      <c r="H48" s="281"/>
      <c r="I48" s="256"/>
      <c r="J48" s="256"/>
      <c r="K48" s="258"/>
      <c r="L48" s="256"/>
      <c r="M48" s="256"/>
      <c r="N48" s="258"/>
      <c r="O48" s="258"/>
      <c r="P48" s="258"/>
      <c r="Q48" s="258"/>
      <c r="R48" s="258"/>
      <c r="S48" s="258"/>
      <c r="T48" s="258"/>
      <c r="U48" s="258"/>
    </row>
    <row r="49" spans="1:21" ht="29.25" customHeight="1">
      <c r="A49" s="258"/>
      <c r="B49" s="256"/>
      <c r="C49" s="270"/>
      <c r="D49" s="256"/>
      <c r="E49" s="256"/>
      <c r="F49" s="256"/>
      <c r="G49" s="256"/>
      <c r="H49" s="281"/>
      <c r="I49" s="256"/>
      <c r="J49" s="256"/>
      <c r="K49" s="258"/>
      <c r="L49" s="256"/>
      <c r="M49" s="256"/>
      <c r="N49" s="258"/>
      <c r="O49" s="258"/>
      <c r="P49" s="258"/>
      <c r="Q49" s="258"/>
      <c r="R49" s="258"/>
      <c r="S49" s="258"/>
      <c r="T49" s="258"/>
      <c r="U49" s="258"/>
    </row>
    <row r="50" spans="1:21" ht="29.25" customHeight="1">
      <c r="A50" s="258"/>
      <c r="B50" s="256"/>
      <c r="C50" s="270"/>
      <c r="D50" s="256"/>
      <c r="E50" s="256"/>
      <c r="F50" s="256"/>
      <c r="G50" s="256"/>
      <c r="H50" s="281"/>
      <c r="I50" s="256"/>
      <c r="J50" s="256"/>
      <c r="K50" s="258"/>
      <c r="L50" s="256"/>
      <c r="M50" s="256"/>
      <c r="N50" s="258"/>
      <c r="O50" s="258"/>
      <c r="P50" s="258"/>
      <c r="Q50" s="258"/>
      <c r="R50" s="258"/>
      <c r="S50" s="258"/>
      <c r="T50" s="258"/>
      <c r="U50" s="258"/>
    </row>
    <row r="51" spans="1:21" ht="29.25" customHeight="1">
      <c r="A51" s="258"/>
      <c r="B51" s="256"/>
      <c r="C51" s="270"/>
      <c r="D51" s="256"/>
      <c r="E51" s="256"/>
      <c r="F51" s="256"/>
      <c r="G51" s="256"/>
      <c r="H51" s="281"/>
      <c r="I51" s="256"/>
      <c r="J51" s="256"/>
      <c r="K51" s="258"/>
      <c r="L51" s="256"/>
      <c r="M51" s="256"/>
      <c r="N51" s="258"/>
      <c r="O51" s="258"/>
      <c r="P51" s="258"/>
      <c r="Q51" s="258"/>
      <c r="R51" s="258"/>
      <c r="S51" s="258"/>
      <c r="T51" s="258"/>
      <c r="U51" s="258"/>
    </row>
    <row r="52" spans="1:21" ht="29.25" customHeight="1">
      <c r="A52" s="258"/>
      <c r="B52" s="256"/>
      <c r="C52" s="270"/>
      <c r="D52" s="256"/>
      <c r="E52" s="256"/>
      <c r="F52" s="256"/>
      <c r="G52" s="256"/>
      <c r="H52" s="281"/>
      <c r="I52" s="256"/>
      <c r="J52" s="256"/>
      <c r="K52" s="258"/>
      <c r="L52" s="256"/>
      <c r="M52" s="256"/>
      <c r="N52" s="258"/>
      <c r="O52" s="258"/>
      <c r="P52" s="258"/>
      <c r="Q52" s="258"/>
      <c r="R52" s="258"/>
      <c r="S52" s="258"/>
      <c r="T52" s="258"/>
      <c r="U52" s="258"/>
    </row>
    <row r="53" spans="1:21" ht="29.25" customHeight="1">
      <c r="A53" s="258"/>
      <c r="B53" s="256"/>
      <c r="C53" s="270"/>
      <c r="D53" s="256"/>
      <c r="E53" s="256"/>
      <c r="F53" s="256"/>
      <c r="G53" s="256"/>
      <c r="H53" s="281"/>
      <c r="I53" s="256"/>
      <c r="J53" s="256"/>
      <c r="K53" s="258"/>
      <c r="L53" s="256"/>
      <c r="M53" s="256"/>
      <c r="N53" s="258"/>
      <c r="O53" s="258"/>
      <c r="P53" s="258"/>
      <c r="Q53" s="258"/>
      <c r="R53" s="258"/>
      <c r="S53" s="258"/>
      <c r="T53" s="258"/>
      <c r="U53" s="258"/>
    </row>
    <row r="54" spans="1:21" ht="29.25" customHeight="1">
      <c r="A54" s="258"/>
      <c r="B54" s="256"/>
      <c r="C54" s="270"/>
      <c r="D54" s="256"/>
      <c r="E54" s="256"/>
      <c r="F54" s="256"/>
      <c r="G54" s="256"/>
      <c r="H54" s="281"/>
      <c r="I54" s="256"/>
      <c r="J54" s="256"/>
      <c r="K54" s="258"/>
      <c r="L54" s="256"/>
      <c r="M54" s="256"/>
      <c r="N54" s="258"/>
      <c r="O54" s="258"/>
      <c r="P54" s="258"/>
      <c r="Q54" s="258"/>
      <c r="R54" s="258"/>
      <c r="S54" s="258"/>
      <c r="T54" s="258"/>
      <c r="U54" s="258"/>
    </row>
    <row r="55" spans="1:21" ht="29.25" customHeight="1">
      <c r="A55" s="258"/>
      <c r="B55" s="256"/>
      <c r="C55" s="270"/>
      <c r="D55" s="256"/>
      <c r="E55" s="256"/>
      <c r="F55" s="256"/>
      <c r="G55" s="256"/>
      <c r="H55" s="281"/>
      <c r="I55" s="256"/>
      <c r="J55" s="256"/>
      <c r="K55" s="258"/>
      <c r="L55" s="256"/>
      <c r="M55" s="256"/>
      <c r="N55" s="258"/>
      <c r="O55" s="258"/>
      <c r="P55" s="258"/>
      <c r="Q55" s="258"/>
      <c r="R55" s="258"/>
      <c r="S55" s="258"/>
      <c r="T55" s="258"/>
      <c r="U55" s="258"/>
    </row>
    <row r="56" spans="1:21" ht="29.25" customHeight="1">
      <c r="A56" s="258"/>
      <c r="B56" s="256"/>
      <c r="C56" s="270"/>
      <c r="D56" s="256"/>
      <c r="E56" s="256"/>
      <c r="F56" s="256"/>
      <c r="G56" s="256"/>
      <c r="H56" s="281"/>
      <c r="I56" s="256"/>
      <c r="J56" s="256"/>
      <c r="K56" s="258"/>
      <c r="L56" s="256"/>
      <c r="M56" s="256"/>
      <c r="N56" s="258"/>
      <c r="O56" s="258"/>
      <c r="P56" s="258"/>
      <c r="Q56" s="258"/>
      <c r="R56" s="258"/>
      <c r="S56" s="258"/>
      <c r="T56" s="258"/>
      <c r="U56" s="258"/>
    </row>
    <row r="57" spans="1:21" ht="29.25" customHeight="1">
      <c r="A57" s="258"/>
      <c r="B57" s="256"/>
      <c r="C57" s="270"/>
      <c r="D57" s="256"/>
      <c r="E57" s="256"/>
      <c r="F57" s="256"/>
      <c r="G57" s="256"/>
      <c r="H57" s="281"/>
      <c r="I57" s="256"/>
      <c r="J57" s="256"/>
      <c r="K57" s="258"/>
      <c r="L57" s="256"/>
      <c r="M57" s="256"/>
      <c r="N57" s="258"/>
      <c r="O57" s="258"/>
      <c r="P57" s="258"/>
      <c r="Q57" s="258"/>
      <c r="R57" s="258"/>
      <c r="S57" s="258"/>
      <c r="T57" s="258"/>
      <c r="U57" s="258"/>
    </row>
    <row r="58" spans="1:21" ht="29.25" customHeight="1">
      <c r="A58" s="258"/>
      <c r="B58" s="256"/>
      <c r="C58" s="270"/>
      <c r="D58" s="256"/>
      <c r="E58" s="256"/>
      <c r="F58" s="256"/>
      <c r="G58" s="256"/>
      <c r="H58" s="281"/>
      <c r="I58" s="256"/>
      <c r="J58" s="256"/>
      <c r="K58" s="258"/>
      <c r="L58" s="256"/>
      <c r="M58" s="256"/>
      <c r="N58" s="258"/>
      <c r="O58" s="258"/>
      <c r="P58" s="258"/>
      <c r="Q58" s="258"/>
      <c r="R58" s="258"/>
      <c r="S58" s="258"/>
      <c r="T58" s="258"/>
      <c r="U58" s="258"/>
    </row>
    <row r="59" spans="1:21" ht="29.25" customHeight="1">
      <c r="A59" s="258"/>
      <c r="B59" s="256"/>
      <c r="C59" s="270"/>
      <c r="D59" s="256"/>
      <c r="E59" s="256"/>
      <c r="F59" s="256"/>
      <c r="G59" s="256"/>
      <c r="H59" s="281"/>
      <c r="I59" s="256"/>
      <c r="J59" s="256"/>
      <c r="K59" s="258"/>
      <c r="L59" s="256"/>
      <c r="M59" s="256"/>
      <c r="N59" s="258"/>
      <c r="O59" s="258"/>
      <c r="P59" s="258"/>
      <c r="Q59" s="258"/>
      <c r="R59" s="258"/>
      <c r="S59" s="258"/>
      <c r="T59" s="258"/>
      <c r="U59" s="258"/>
    </row>
    <row r="60" spans="1:21" ht="29.25" customHeight="1">
      <c r="A60" s="258"/>
      <c r="B60" s="256"/>
      <c r="C60" s="270"/>
      <c r="D60" s="256"/>
      <c r="E60" s="256"/>
      <c r="F60" s="256"/>
      <c r="G60" s="256"/>
      <c r="H60" s="281"/>
      <c r="I60" s="256"/>
      <c r="J60" s="256"/>
      <c r="K60" s="258"/>
      <c r="L60" s="256"/>
      <c r="M60" s="256"/>
      <c r="N60" s="258"/>
      <c r="O60" s="258"/>
      <c r="P60" s="258"/>
      <c r="Q60" s="258"/>
      <c r="R60" s="258"/>
      <c r="S60" s="258"/>
      <c r="T60" s="258"/>
      <c r="U60" s="258"/>
    </row>
    <row r="61" spans="1:21" ht="29.25" customHeight="1">
      <c r="A61" s="258"/>
      <c r="B61" s="256"/>
      <c r="C61" s="270"/>
      <c r="D61" s="256"/>
      <c r="E61" s="256"/>
      <c r="F61" s="256"/>
      <c r="G61" s="256"/>
      <c r="H61" s="281"/>
      <c r="I61" s="256"/>
      <c r="J61" s="256"/>
      <c r="K61" s="258"/>
      <c r="L61" s="256"/>
      <c r="M61" s="256"/>
      <c r="N61" s="258"/>
      <c r="O61" s="258"/>
      <c r="P61" s="258"/>
      <c r="Q61" s="258"/>
      <c r="R61" s="258"/>
      <c r="S61" s="258"/>
      <c r="T61" s="258"/>
      <c r="U61" s="258"/>
    </row>
    <row r="62" spans="1:21" ht="29.25" customHeight="1">
      <c r="A62" s="258"/>
      <c r="B62" s="256"/>
      <c r="C62" s="270"/>
      <c r="D62" s="256"/>
      <c r="E62" s="256"/>
      <c r="F62" s="256"/>
      <c r="G62" s="256"/>
      <c r="H62" s="281"/>
      <c r="I62" s="256"/>
      <c r="J62" s="256"/>
      <c r="K62" s="258"/>
      <c r="L62" s="256"/>
      <c r="M62" s="256"/>
      <c r="N62" s="258"/>
      <c r="O62" s="258"/>
      <c r="P62" s="258"/>
      <c r="Q62" s="258"/>
      <c r="R62" s="258"/>
      <c r="S62" s="258"/>
      <c r="T62" s="258"/>
      <c r="U62" s="258"/>
    </row>
    <row r="63" spans="1:21" ht="29.25" customHeight="1">
      <c r="A63" s="258"/>
      <c r="B63" s="256"/>
      <c r="C63" s="270"/>
      <c r="D63" s="256"/>
      <c r="E63" s="256"/>
      <c r="F63" s="256"/>
      <c r="G63" s="256"/>
      <c r="H63" s="281"/>
      <c r="I63" s="256"/>
      <c r="J63" s="256"/>
      <c r="K63" s="258"/>
      <c r="L63" s="256"/>
      <c r="M63" s="256"/>
      <c r="N63" s="258"/>
      <c r="O63" s="258"/>
      <c r="P63" s="258"/>
      <c r="Q63" s="258"/>
      <c r="R63" s="258"/>
      <c r="S63" s="258"/>
      <c r="T63" s="258"/>
      <c r="U63" s="258"/>
    </row>
    <row r="64" spans="1:21" ht="29.25" customHeight="1">
      <c r="A64" s="258"/>
      <c r="B64" s="256"/>
      <c r="C64" s="270"/>
      <c r="D64" s="256"/>
      <c r="E64" s="256"/>
      <c r="F64" s="256"/>
      <c r="G64" s="256"/>
      <c r="H64" s="281"/>
      <c r="I64" s="256"/>
      <c r="J64" s="256"/>
      <c r="K64" s="258"/>
      <c r="L64" s="256"/>
      <c r="M64" s="256"/>
      <c r="N64" s="258"/>
      <c r="O64" s="258"/>
      <c r="P64" s="258"/>
      <c r="Q64" s="258"/>
      <c r="R64" s="258"/>
      <c r="S64" s="258"/>
      <c r="T64" s="258"/>
      <c r="U64" s="258"/>
    </row>
    <row r="65" spans="1:21" ht="29.25" customHeight="1">
      <c r="A65" s="258"/>
      <c r="B65" s="256"/>
      <c r="C65" s="270"/>
      <c r="D65" s="256"/>
      <c r="E65" s="256"/>
      <c r="F65" s="256"/>
      <c r="G65" s="256"/>
      <c r="H65" s="281"/>
      <c r="I65" s="256"/>
      <c r="J65" s="256"/>
      <c r="K65" s="258"/>
      <c r="L65" s="256"/>
      <c r="M65" s="256"/>
      <c r="N65" s="258"/>
      <c r="O65" s="258"/>
      <c r="P65" s="258"/>
      <c r="Q65" s="258"/>
      <c r="R65" s="258"/>
      <c r="S65" s="258"/>
      <c r="T65" s="258"/>
      <c r="U65" s="258"/>
    </row>
    <row r="66" spans="1:21" ht="29.25" customHeight="1">
      <c r="A66" s="258"/>
      <c r="B66" s="256"/>
      <c r="C66" s="270"/>
      <c r="D66" s="256"/>
      <c r="E66" s="256"/>
      <c r="F66" s="256"/>
      <c r="G66" s="256"/>
      <c r="H66" s="281"/>
      <c r="I66" s="256"/>
      <c r="J66" s="256"/>
      <c r="K66" s="258"/>
      <c r="L66" s="256"/>
      <c r="M66" s="256"/>
      <c r="N66" s="258"/>
      <c r="O66" s="258"/>
      <c r="P66" s="258"/>
      <c r="Q66" s="258"/>
      <c r="R66" s="258"/>
      <c r="S66" s="258"/>
      <c r="T66" s="258"/>
      <c r="U66" s="258"/>
    </row>
    <row r="67" spans="1:21" ht="29.25" customHeight="1">
      <c r="A67" s="258"/>
      <c r="B67" s="256"/>
      <c r="C67" s="270"/>
      <c r="D67" s="256"/>
      <c r="E67" s="256"/>
      <c r="F67" s="256"/>
      <c r="G67" s="256"/>
      <c r="H67" s="281"/>
      <c r="I67" s="256"/>
      <c r="J67" s="256"/>
      <c r="K67" s="258"/>
      <c r="L67" s="256"/>
      <c r="M67" s="256"/>
      <c r="N67" s="258"/>
      <c r="O67" s="258"/>
      <c r="P67" s="258"/>
      <c r="Q67" s="258"/>
      <c r="R67" s="258"/>
      <c r="S67" s="258"/>
      <c r="T67" s="258"/>
      <c r="U67" s="258"/>
    </row>
    <row r="68" spans="1:21" ht="29.25" customHeight="1">
      <c r="A68" s="258"/>
      <c r="B68" s="256"/>
      <c r="C68" s="270"/>
      <c r="D68" s="256"/>
      <c r="E68" s="256"/>
      <c r="F68" s="256"/>
      <c r="G68" s="256"/>
      <c r="H68" s="281"/>
      <c r="I68" s="256"/>
      <c r="J68" s="256"/>
      <c r="K68" s="258"/>
      <c r="L68" s="256"/>
      <c r="M68" s="256"/>
      <c r="N68" s="258"/>
      <c r="O68" s="258"/>
      <c r="P68" s="258"/>
      <c r="Q68" s="258"/>
      <c r="R68" s="258"/>
      <c r="S68" s="258"/>
      <c r="T68" s="258"/>
      <c r="U68" s="258"/>
    </row>
    <row r="69" spans="1:21" ht="29.25" customHeight="1">
      <c r="A69" s="258"/>
      <c r="B69" s="256"/>
      <c r="C69" s="270"/>
      <c r="D69" s="256"/>
      <c r="E69" s="256"/>
      <c r="F69" s="256"/>
      <c r="G69" s="256"/>
      <c r="H69" s="281"/>
      <c r="I69" s="256"/>
      <c r="J69" s="256"/>
      <c r="K69" s="258"/>
      <c r="L69" s="256"/>
      <c r="M69" s="256"/>
      <c r="N69" s="258"/>
      <c r="O69" s="258"/>
      <c r="P69" s="258"/>
      <c r="Q69" s="258"/>
      <c r="R69" s="258"/>
      <c r="S69" s="258"/>
      <c r="T69" s="258"/>
      <c r="U69" s="258"/>
    </row>
    <row r="70" spans="1:21" ht="29.25" customHeight="1">
      <c r="A70" s="258"/>
      <c r="B70" s="256"/>
      <c r="C70" s="270"/>
      <c r="D70" s="256"/>
      <c r="E70" s="256"/>
      <c r="F70" s="256"/>
      <c r="G70" s="256"/>
      <c r="H70" s="281"/>
      <c r="I70" s="256"/>
      <c r="J70" s="256"/>
      <c r="K70" s="258"/>
      <c r="L70" s="256"/>
      <c r="M70" s="256"/>
      <c r="N70" s="258"/>
      <c r="O70" s="258"/>
      <c r="P70" s="258"/>
      <c r="Q70" s="258"/>
      <c r="R70" s="258"/>
      <c r="S70" s="258"/>
      <c r="T70" s="258"/>
      <c r="U70" s="258"/>
    </row>
    <row r="71" spans="1:21" ht="29.25" customHeight="1">
      <c r="A71" s="258"/>
      <c r="B71" s="256"/>
      <c r="C71" s="270"/>
      <c r="D71" s="256"/>
      <c r="E71" s="256"/>
      <c r="F71" s="256"/>
      <c r="G71" s="256"/>
      <c r="H71" s="281"/>
      <c r="I71" s="256"/>
      <c r="J71" s="256"/>
      <c r="K71" s="258"/>
      <c r="L71" s="256"/>
      <c r="M71" s="256"/>
      <c r="N71" s="258"/>
      <c r="O71" s="258"/>
      <c r="P71" s="258"/>
      <c r="Q71" s="258"/>
      <c r="R71" s="258"/>
      <c r="S71" s="258"/>
      <c r="T71" s="258"/>
      <c r="U71" s="258"/>
    </row>
    <row r="72" spans="1:21" ht="29.25" customHeight="1">
      <c r="A72" s="258"/>
      <c r="B72" s="256"/>
      <c r="C72" s="270"/>
      <c r="D72" s="256"/>
      <c r="E72" s="256"/>
      <c r="F72" s="256"/>
      <c r="G72" s="256"/>
      <c r="H72" s="281"/>
      <c r="I72" s="256"/>
      <c r="J72" s="256"/>
      <c r="K72" s="258"/>
      <c r="L72" s="256"/>
      <c r="M72" s="256"/>
      <c r="N72" s="258"/>
      <c r="O72" s="258"/>
      <c r="P72" s="258"/>
      <c r="Q72" s="258"/>
      <c r="R72" s="258"/>
      <c r="S72" s="258"/>
      <c r="T72" s="258"/>
      <c r="U72" s="258"/>
    </row>
    <row r="73" spans="1:21" ht="29.25" customHeight="1">
      <c r="A73" s="258"/>
      <c r="B73" s="256"/>
      <c r="C73" s="270"/>
      <c r="D73" s="256"/>
      <c r="E73" s="256"/>
      <c r="F73" s="256"/>
      <c r="G73" s="256"/>
      <c r="H73" s="281"/>
      <c r="I73" s="256"/>
      <c r="J73" s="256"/>
      <c r="K73" s="258"/>
      <c r="L73" s="256"/>
      <c r="M73" s="256"/>
      <c r="N73" s="258"/>
      <c r="O73" s="258"/>
      <c r="P73" s="258"/>
      <c r="Q73" s="258"/>
      <c r="R73" s="258"/>
      <c r="S73" s="258"/>
      <c r="T73" s="258"/>
      <c r="U73" s="258"/>
    </row>
    <row r="74" spans="1:21" ht="29.25" customHeight="1">
      <c r="A74" s="258"/>
      <c r="B74" s="256"/>
      <c r="C74" s="270"/>
      <c r="D74" s="256"/>
      <c r="E74" s="256"/>
      <c r="F74" s="256"/>
      <c r="G74" s="256"/>
      <c r="H74" s="281"/>
      <c r="I74" s="256"/>
      <c r="J74" s="256"/>
      <c r="K74" s="258"/>
      <c r="L74" s="256"/>
      <c r="M74" s="256"/>
      <c r="N74" s="258"/>
      <c r="O74" s="258"/>
      <c r="P74" s="258"/>
      <c r="Q74" s="258"/>
      <c r="R74" s="258"/>
      <c r="S74" s="258"/>
      <c r="T74" s="258"/>
      <c r="U74" s="258"/>
    </row>
    <row r="75" spans="1:21" ht="29.25" customHeight="1">
      <c r="A75" s="258"/>
      <c r="B75" s="256"/>
      <c r="C75" s="270"/>
      <c r="D75" s="256"/>
      <c r="E75" s="256"/>
      <c r="F75" s="256"/>
      <c r="G75" s="256"/>
      <c r="H75" s="281"/>
      <c r="I75" s="256"/>
      <c r="J75" s="256"/>
      <c r="K75" s="258"/>
      <c r="L75" s="256"/>
      <c r="M75" s="256"/>
      <c r="N75" s="258"/>
      <c r="O75" s="258"/>
      <c r="P75" s="258"/>
      <c r="Q75" s="258"/>
      <c r="R75" s="258"/>
      <c r="S75" s="258"/>
      <c r="T75" s="258"/>
      <c r="U75" s="258"/>
    </row>
    <row r="76" spans="1:21" ht="29.25" customHeight="1">
      <c r="A76" s="258"/>
      <c r="B76" s="256"/>
      <c r="C76" s="270"/>
      <c r="D76" s="256"/>
      <c r="E76" s="256"/>
      <c r="F76" s="256"/>
      <c r="G76" s="256"/>
      <c r="H76" s="281"/>
      <c r="I76" s="256"/>
      <c r="J76" s="256"/>
      <c r="K76" s="258"/>
      <c r="L76" s="256"/>
      <c r="M76" s="256"/>
      <c r="N76" s="258"/>
      <c r="O76" s="258"/>
      <c r="P76" s="258"/>
      <c r="Q76" s="258"/>
      <c r="R76" s="258"/>
      <c r="S76" s="258"/>
      <c r="T76" s="258"/>
      <c r="U76" s="258"/>
    </row>
    <row r="77" spans="1:21" ht="29.25" customHeight="1">
      <c r="A77" s="258"/>
      <c r="B77" s="256"/>
      <c r="C77" s="270"/>
      <c r="D77" s="256"/>
      <c r="E77" s="256"/>
      <c r="F77" s="256"/>
      <c r="G77" s="256"/>
      <c r="H77" s="281"/>
      <c r="I77" s="256"/>
      <c r="J77" s="256"/>
      <c r="K77" s="258"/>
      <c r="L77" s="256"/>
      <c r="M77" s="256"/>
      <c r="N77" s="258"/>
      <c r="O77" s="258"/>
      <c r="P77" s="258"/>
      <c r="Q77" s="258"/>
      <c r="R77" s="258"/>
      <c r="S77" s="258"/>
      <c r="T77" s="258"/>
      <c r="U77" s="258"/>
    </row>
    <row r="78" spans="1:21" ht="29.25" customHeight="1">
      <c r="A78" s="258"/>
      <c r="B78" s="256"/>
      <c r="C78" s="270"/>
      <c r="D78" s="256"/>
      <c r="E78" s="256"/>
      <c r="F78" s="256"/>
      <c r="G78" s="256"/>
      <c r="H78" s="281"/>
      <c r="I78" s="256"/>
      <c r="J78" s="256"/>
      <c r="K78" s="258"/>
      <c r="L78" s="256"/>
      <c r="M78" s="256"/>
      <c r="N78" s="258"/>
      <c r="O78" s="258"/>
      <c r="P78" s="258"/>
      <c r="Q78" s="258"/>
      <c r="R78" s="258"/>
      <c r="S78" s="258"/>
      <c r="T78" s="258"/>
      <c r="U78" s="258"/>
    </row>
    <row r="79" spans="1:21" ht="29.25" customHeight="1">
      <c r="A79" s="258"/>
      <c r="B79" s="256"/>
      <c r="C79" s="270"/>
      <c r="D79" s="256"/>
      <c r="E79" s="256"/>
      <c r="F79" s="256"/>
      <c r="G79" s="256"/>
      <c r="H79" s="281"/>
      <c r="I79" s="256"/>
      <c r="J79" s="256"/>
      <c r="K79" s="258"/>
      <c r="L79" s="256"/>
      <c r="M79" s="256"/>
      <c r="N79" s="258"/>
      <c r="O79" s="258"/>
      <c r="P79" s="258"/>
      <c r="Q79" s="258"/>
      <c r="R79" s="258"/>
      <c r="S79" s="258"/>
      <c r="T79" s="258"/>
      <c r="U79" s="258"/>
    </row>
    <row r="80" spans="1:21" ht="29.25" customHeight="1">
      <c r="A80" s="258"/>
      <c r="B80" s="256"/>
      <c r="C80" s="270"/>
      <c r="D80" s="256"/>
      <c r="E80" s="256"/>
      <c r="F80" s="256"/>
      <c r="G80" s="256"/>
      <c r="H80" s="281"/>
      <c r="I80" s="256"/>
      <c r="J80" s="256"/>
      <c r="K80" s="258"/>
      <c r="L80" s="256"/>
      <c r="M80" s="256"/>
      <c r="N80" s="258"/>
      <c r="O80" s="258"/>
      <c r="P80" s="258"/>
      <c r="Q80" s="258"/>
      <c r="R80" s="258"/>
      <c r="S80" s="258"/>
      <c r="T80" s="258"/>
      <c r="U80" s="258"/>
    </row>
    <row r="81" spans="1:21" ht="29.25" customHeight="1">
      <c r="A81" s="258"/>
      <c r="B81" s="256"/>
      <c r="C81" s="270"/>
      <c r="D81" s="256"/>
      <c r="E81" s="256"/>
      <c r="F81" s="256"/>
      <c r="G81" s="256"/>
      <c r="H81" s="281"/>
      <c r="I81" s="256"/>
      <c r="J81" s="256"/>
      <c r="K81" s="258"/>
      <c r="L81" s="256"/>
      <c r="M81" s="256"/>
      <c r="N81" s="258"/>
      <c r="O81" s="258"/>
      <c r="P81" s="258"/>
      <c r="Q81" s="258"/>
      <c r="R81" s="258"/>
      <c r="S81" s="258"/>
      <c r="T81" s="258"/>
      <c r="U81" s="258"/>
    </row>
    <row r="82" spans="1:21" ht="29.25" customHeight="1">
      <c r="A82" s="258"/>
      <c r="B82" s="256"/>
      <c r="C82" s="270"/>
      <c r="D82" s="256"/>
      <c r="E82" s="256"/>
      <c r="F82" s="256"/>
      <c r="G82" s="256"/>
      <c r="H82" s="281"/>
      <c r="I82" s="256"/>
      <c r="J82" s="256"/>
      <c r="K82" s="258"/>
      <c r="L82" s="256"/>
      <c r="M82" s="256"/>
      <c r="N82" s="258"/>
      <c r="O82" s="258"/>
      <c r="P82" s="258"/>
      <c r="Q82" s="258"/>
      <c r="R82" s="258"/>
      <c r="S82" s="258"/>
      <c r="T82" s="258"/>
      <c r="U82" s="258"/>
    </row>
    <row r="83" spans="1:21" ht="29.25" customHeight="1">
      <c r="A83" s="258"/>
      <c r="B83" s="256"/>
      <c r="C83" s="270"/>
      <c r="D83" s="256"/>
      <c r="E83" s="256"/>
      <c r="F83" s="256"/>
      <c r="G83" s="256"/>
      <c r="H83" s="281"/>
      <c r="I83" s="256"/>
      <c r="J83" s="256"/>
      <c r="K83" s="258"/>
      <c r="L83" s="256"/>
      <c r="M83" s="256"/>
      <c r="N83" s="258"/>
      <c r="O83" s="258"/>
      <c r="P83" s="258"/>
      <c r="Q83" s="258"/>
      <c r="R83" s="258"/>
      <c r="S83" s="258"/>
      <c r="T83" s="258"/>
      <c r="U83" s="258"/>
    </row>
    <row r="84" spans="1:21" ht="29.25" customHeight="1">
      <c r="A84" s="258"/>
      <c r="B84" s="256"/>
      <c r="C84" s="270"/>
      <c r="D84" s="256"/>
      <c r="E84" s="256"/>
      <c r="F84" s="256"/>
      <c r="G84" s="256"/>
      <c r="H84" s="281"/>
      <c r="I84" s="256"/>
      <c r="J84" s="256"/>
      <c r="K84" s="258"/>
      <c r="L84" s="256"/>
      <c r="M84" s="256"/>
      <c r="N84" s="258"/>
      <c r="O84" s="258"/>
      <c r="P84" s="258"/>
      <c r="Q84" s="258"/>
      <c r="R84" s="258"/>
      <c r="S84" s="258"/>
      <c r="T84" s="258"/>
      <c r="U84" s="258"/>
    </row>
    <row r="85" spans="1:21" ht="29.25" customHeight="1">
      <c r="A85" s="258"/>
      <c r="B85" s="256"/>
      <c r="C85" s="270"/>
      <c r="D85" s="256"/>
      <c r="E85" s="256"/>
      <c r="F85" s="256"/>
      <c r="G85" s="256"/>
      <c r="H85" s="281"/>
      <c r="I85" s="256"/>
      <c r="J85" s="256"/>
      <c r="K85" s="258"/>
      <c r="L85" s="256"/>
      <c r="M85" s="256"/>
      <c r="N85" s="258"/>
      <c r="O85" s="258"/>
      <c r="P85" s="258"/>
      <c r="Q85" s="258"/>
      <c r="R85" s="258"/>
      <c r="S85" s="258"/>
      <c r="T85" s="258"/>
      <c r="U85" s="258"/>
    </row>
    <row r="86" spans="1:21" ht="29.25" customHeight="1">
      <c r="A86" s="258"/>
      <c r="B86" s="256"/>
      <c r="C86" s="270"/>
      <c r="D86" s="256"/>
      <c r="E86" s="256"/>
      <c r="F86" s="256"/>
      <c r="G86" s="256"/>
      <c r="H86" s="281"/>
      <c r="I86" s="256"/>
      <c r="J86" s="256"/>
      <c r="K86" s="258"/>
      <c r="L86" s="256"/>
      <c r="M86" s="256"/>
      <c r="N86" s="258"/>
      <c r="O86" s="258"/>
      <c r="P86" s="258"/>
      <c r="Q86" s="258"/>
      <c r="R86" s="258"/>
      <c r="S86" s="258"/>
      <c r="T86" s="258"/>
      <c r="U86" s="258"/>
    </row>
    <row r="87" spans="1:21" ht="29.25" customHeight="1">
      <c r="A87" s="258"/>
      <c r="B87" s="256"/>
      <c r="C87" s="270"/>
      <c r="D87" s="256"/>
      <c r="E87" s="256"/>
      <c r="F87" s="256"/>
      <c r="G87" s="256"/>
      <c r="H87" s="281"/>
      <c r="I87" s="256"/>
      <c r="J87" s="256"/>
      <c r="K87" s="258"/>
      <c r="L87" s="256"/>
      <c r="M87" s="256"/>
      <c r="N87" s="258"/>
      <c r="O87" s="258"/>
      <c r="P87" s="258"/>
      <c r="Q87" s="258"/>
      <c r="R87" s="258"/>
      <c r="S87" s="258"/>
      <c r="T87" s="258"/>
      <c r="U87" s="258"/>
    </row>
    <row r="88" spans="1:21" ht="29.25" customHeight="1">
      <c r="A88" s="258"/>
      <c r="B88" s="256"/>
      <c r="C88" s="270"/>
      <c r="D88" s="256"/>
      <c r="E88" s="256"/>
      <c r="F88" s="256"/>
      <c r="G88" s="256"/>
      <c r="H88" s="281"/>
      <c r="I88" s="256"/>
      <c r="J88" s="256"/>
      <c r="K88" s="258"/>
      <c r="L88" s="256"/>
      <c r="M88" s="256"/>
      <c r="N88" s="258"/>
      <c r="O88" s="258"/>
      <c r="P88" s="258"/>
      <c r="Q88" s="258"/>
      <c r="R88" s="258"/>
      <c r="S88" s="258"/>
      <c r="T88" s="258"/>
      <c r="U88" s="258"/>
    </row>
    <row r="89" spans="1:21" ht="29.25" customHeight="1">
      <c r="A89" s="258"/>
      <c r="B89" s="256"/>
      <c r="C89" s="270"/>
      <c r="D89" s="256"/>
      <c r="E89" s="256"/>
      <c r="F89" s="256"/>
      <c r="G89" s="256"/>
      <c r="H89" s="281"/>
      <c r="I89" s="256"/>
      <c r="J89" s="256"/>
      <c r="K89" s="258"/>
      <c r="L89" s="256"/>
      <c r="M89" s="256"/>
      <c r="N89" s="258"/>
      <c r="O89" s="258"/>
      <c r="P89" s="258"/>
      <c r="Q89" s="258"/>
      <c r="R89" s="258"/>
      <c r="S89" s="258"/>
      <c r="T89" s="258"/>
      <c r="U89" s="258"/>
    </row>
    <row r="90" spans="1:21" ht="29.25" customHeight="1">
      <c r="A90" s="258"/>
      <c r="B90" s="256"/>
      <c r="C90" s="270"/>
      <c r="D90" s="256"/>
      <c r="E90" s="256"/>
      <c r="F90" s="256"/>
      <c r="G90" s="256"/>
      <c r="H90" s="281"/>
      <c r="I90" s="256"/>
      <c r="J90" s="256"/>
      <c r="K90" s="258"/>
      <c r="L90" s="256"/>
      <c r="M90" s="256"/>
      <c r="N90" s="258"/>
      <c r="O90" s="258"/>
      <c r="P90" s="258"/>
      <c r="Q90" s="258"/>
      <c r="R90" s="258"/>
      <c r="S90" s="258"/>
      <c r="T90" s="258"/>
      <c r="U90" s="258"/>
    </row>
    <row r="91" spans="1:21" ht="29.25" customHeight="1">
      <c r="A91" s="258"/>
      <c r="B91" s="256"/>
      <c r="C91" s="270"/>
      <c r="D91" s="256"/>
      <c r="E91" s="256"/>
      <c r="F91" s="256"/>
      <c r="G91" s="256"/>
      <c r="H91" s="281"/>
      <c r="I91" s="256"/>
      <c r="J91" s="256"/>
      <c r="K91" s="258"/>
      <c r="L91" s="256"/>
      <c r="M91" s="256"/>
      <c r="N91" s="258"/>
      <c r="O91" s="258"/>
      <c r="P91" s="258"/>
      <c r="Q91" s="258"/>
      <c r="R91" s="258"/>
      <c r="S91" s="258"/>
      <c r="T91" s="258"/>
      <c r="U91" s="258"/>
    </row>
    <row r="92" spans="1:21" ht="29.25" customHeight="1">
      <c r="A92" s="258"/>
      <c r="B92" s="256"/>
      <c r="C92" s="270"/>
      <c r="D92" s="256"/>
      <c r="E92" s="256"/>
      <c r="F92" s="256"/>
      <c r="G92" s="256"/>
      <c r="H92" s="281"/>
      <c r="I92" s="256"/>
      <c r="J92" s="256"/>
      <c r="K92" s="258"/>
      <c r="L92" s="256"/>
      <c r="M92" s="256"/>
      <c r="N92" s="258"/>
      <c r="O92" s="258"/>
      <c r="P92" s="258"/>
      <c r="Q92" s="258"/>
      <c r="R92" s="258"/>
      <c r="S92" s="258"/>
      <c r="T92" s="258"/>
      <c r="U92" s="258"/>
    </row>
    <row r="93" spans="1:21" ht="29.25" customHeight="1">
      <c r="A93" s="258"/>
      <c r="B93" s="256"/>
      <c r="C93" s="270"/>
      <c r="D93" s="256"/>
      <c r="E93" s="256"/>
      <c r="F93" s="256"/>
      <c r="G93" s="256"/>
      <c r="H93" s="281"/>
      <c r="I93" s="256"/>
      <c r="J93" s="256"/>
      <c r="K93" s="258"/>
      <c r="L93" s="256"/>
      <c r="M93" s="256"/>
      <c r="N93" s="258"/>
      <c r="O93" s="258"/>
      <c r="P93" s="258"/>
      <c r="Q93" s="258"/>
      <c r="R93" s="258"/>
      <c r="S93" s="258"/>
      <c r="T93" s="258"/>
      <c r="U93" s="258"/>
    </row>
    <row r="94" spans="1:21" ht="29.25" customHeight="1">
      <c r="A94" s="258"/>
      <c r="B94" s="256"/>
      <c r="C94" s="270"/>
      <c r="D94" s="256"/>
      <c r="E94" s="256"/>
      <c r="F94" s="256"/>
      <c r="G94" s="256"/>
      <c r="H94" s="281"/>
      <c r="I94" s="256"/>
      <c r="J94" s="256"/>
      <c r="K94" s="258"/>
      <c r="L94" s="256"/>
      <c r="M94" s="256"/>
      <c r="N94" s="258"/>
      <c r="O94" s="258"/>
      <c r="P94" s="258"/>
      <c r="Q94" s="258"/>
      <c r="R94" s="258"/>
      <c r="S94" s="258"/>
      <c r="T94" s="258"/>
      <c r="U94" s="258"/>
    </row>
    <row r="95" spans="1:21" ht="29.25" customHeight="1">
      <c r="A95" s="258"/>
      <c r="B95" s="256"/>
      <c r="C95" s="270"/>
      <c r="D95" s="256"/>
      <c r="E95" s="256"/>
      <c r="F95" s="256"/>
      <c r="G95" s="256"/>
      <c r="H95" s="281"/>
      <c r="I95" s="256"/>
      <c r="J95" s="256"/>
      <c r="K95" s="258"/>
      <c r="L95" s="256"/>
      <c r="M95" s="256"/>
      <c r="N95" s="258"/>
      <c r="O95" s="258"/>
      <c r="P95" s="258"/>
      <c r="Q95" s="258"/>
      <c r="R95" s="258"/>
      <c r="S95" s="258"/>
      <c r="T95" s="258"/>
      <c r="U95" s="258"/>
    </row>
    <row r="96" spans="1:21" ht="29.25" customHeight="1">
      <c r="A96" s="258"/>
      <c r="B96" s="256"/>
      <c r="C96" s="270"/>
      <c r="D96" s="256"/>
      <c r="E96" s="256"/>
      <c r="F96" s="256"/>
      <c r="G96" s="256"/>
      <c r="H96" s="281"/>
      <c r="I96" s="256"/>
      <c r="J96" s="256"/>
      <c r="K96" s="258"/>
      <c r="L96" s="256"/>
      <c r="M96" s="256"/>
      <c r="N96" s="258"/>
      <c r="O96" s="258"/>
      <c r="P96" s="258"/>
      <c r="Q96" s="258"/>
      <c r="R96" s="258"/>
      <c r="S96" s="258"/>
      <c r="T96" s="258"/>
      <c r="U96" s="258"/>
    </row>
    <row r="97" spans="1:21" ht="29.25" customHeight="1">
      <c r="A97" s="258"/>
      <c r="B97" s="256"/>
      <c r="C97" s="270"/>
      <c r="D97" s="256"/>
      <c r="E97" s="256"/>
      <c r="F97" s="256"/>
      <c r="G97" s="256"/>
      <c r="H97" s="281"/>
      <c r="I97" s="256"/>
      <c r="J97" s="256"/>
      <c r="K97" s="258"/>
      <c r="L97" s="256"/>
      <c r="M97" s="256"/>
      <c r="N97" s="258"/>
      <c r="O97" s="258"/>
      <c r="P97" s="258"/>
      <c r="Q97" s="258"/>
      <c r="R97" s="258"/>
      <c r="S97" s="258"/>
      <c r="T97" s="258"/>
      <c r="U97" s="258"/>
    </row>
    <row r="98" spans="1:21" ht="29.25" customHeight="1">
      <c r="A98" s="258"/>
      <c r="B98" s="256"/>
      <c r="C98" s="270"/>
      <c r="D98" s="256"/>
      <c r="E98" s="256"/>
      <c r="F98" s="256"/>
      <c r="G98" s="256"/>
      <c r="H98" s="281"/>
      <c r="I98" s="256"/>
      <c r="J98" s="256"/>
      <c r="K98" s="258"/>
      <c r="L98" s="256"/>
      <c r="M98" s="256"/>
      <c r="N98" s="258"/>
      <c r="O98" s="258"/>
      <c r="P98" s="258"/>
      <c r="Q98" s="258"/>
      <c r="R98" s="258"/>
      <c r="S98" s="258"/>
      <c r="T98" s="258"/>
      <c r="U98" s="258"/>
    </row>
    <row r="99" spans="1:21" ht="29.25" customHeight="1">
      <c r="A99" s="258"/>
      <c r="B99" s="256"/>
      <c r="C99" s="270"/>
      <c r="D99" s="256"/>
      <c r="E99" s="256"/>
      <c r="F99" s="256"/>
      <c r="G99" s="256"/>
      <c r="H99" s="281"/>
      <c r="I99" s="256"/>
      <c r="J99" s="256"/>
      <c r="K99" s="258"/>
      <c r="L99" s="256"/>
      <c r="M99" s="256"/>
      <c r="N99" s="258"/>
      <c r="O99" s="258"/>
      <c r="P99" s="258"/>
      <c r="Q99" s="258"/>
      <c r="R99" s="258"/>
      <c r="S99" s="258"/>
      <c r="T99" s="258"/>
      <c r="U99" s="258"/>
    </row>
    <row r="100" spans="1:21" ht="29.25" customHeight="1">
      <c r="A100" s="258"/>
      <c r="B100" s="256"/>
      <c r="C100" s="270"/>
      <c r="D100" s="256"/>
      <c r="E100" s="256"/>
      <c r="F100" s="256"/>
      <c r="G100" s="256"/>
      <c r="H100" s="281"/>
      <c r="I100" s="256"/>
      <c r="J100" s="256"/>
      <c r="K100" s="258"/>
      <c r="L100" s="256"/>
      <c r="M100" s="256"/>
      <c r="N100" s="258"/>
      <c r="O100" s="258"/>
      <c r="P100" s="258"/>
      <c r="Q100" s="258"/>
      <c r="R100" s="258"/>
      <c r="S100" s="258"/>
      <c r="T100" s="258"/>
      <c r="U100" s="258"/>
    </row>
    <row r="101" spans="1:21" ht="29.25" customHeight="1">
      <c r="A101" s="258"/>
      <c r="B101" s="256"/>
      <c r="C101" s="270"/>
      <c r="D101" s="256"/>
      <c r="E101" s="256"/>
      <c r="F101" s="256"/>
      <c r="G101" s="256"/>
      <c r="H101" s="281"/>
      <c r="I101" s="256"/>
      <c r="J101" s="256"/>
      <c r="K101" s="258"/>
      <c r="L101" s="256"/>
      <c r="M101" s="256"/>
      <c r="N101" s="258"/>
      <c r="O101" s="258"/>
      <c r="P101" s="258"/>
      <c r="Q101" s="258"/>
      <c r="R101" s="258"/>
      <c r="S101" s="258"/>
      <c r="T101" s="258"/>
      <c r="U101" s="258"/>
    </row>
    <row r="102" spans="1:21" ht="29.25" customHeight="1">
      <c r="A102" s="258"/>
      <c r="B102" s="256"/>
      <c r="C102" s="270"/>
      <c r="D102" s="256"/>
      <c r="E102" s="256"/>
      <c r="F102" s="256"/>
      <c r="G102" s="256"/>
      <c r="H102" s="281"/>
      <c r="I102" s="256"/>
      <c r="J102" s="256"/>
      <c r="K102" s="258"/>
      <c r="L102" s="256"/>
      <c r="M102" s="256"/>
      <c r="N102" s="258"/>
      <c r="O102" s="258"/>
      <c r="P102" s="258"/>
      <c r="Q102" s="258"/>
      <c r="R102" s="258"/>
      <c r="S102" s="258"/>
      <c r="T102" s="258"/>
      <c r="U102" s="258"/>
    </row>
    <row r="103" spans="1:21" ht="29.25" customHeight="1">
      <c r="A103" s="258"/>
      <c r="B103" s="256"/>
      <c r="C103" s="270"/>
      <c r="D103" s="256"/>
      <c r="E103" s="256"/>
      <c r="F103" s="256"/>
      <c r="G103" s="256"/>
      <c r="H103" s="281"/>
      <c r="I103" s="256"/>
      <c r="J103" s="256"/>
      <c r="K103" s="258"/>
      <c r="L103" s="256"/>
      <c r="M103" s="256"/>
      <c r="N103" s="258"/>
      <c r="O103" s="258"/>
      <c r="P103" s="258"/>
      <c r="Q103" s="258"/>
      <c r="R103" s="258"/>
      <c r="S103" s="258"/>
      <c r="T103" s="258"/>
      <c r="U103" s="258"/>
    </row>
    <row r="104" spans="1:21" ht="29.25" customHeight="1">
      <c r="A104" s="258"/>
      <c r="B104" s="256"/>
      <c r="C104" s="270"/>
      <c r="D104" s="256"/>
      <c r="E104" s="256"/>
      <c r="F104" s="256"/>
      <c r="G104" s="256"/>
      <c r="H104" s="281"/>
      <c r="I104" s="256"/>
      <c r="J104" s="256"/>
      <c r="K104" s="258"/>
      <c r="L104" s="256"/>
      <c r="M104" s="256"/>
      <c r="N104" s="258"/>
      <c r="O104" s="258"/>
      <c r="P104" s="258"/>
      <c r="Q104" s="258"/>
      <c r="R104" s="258"/>
      <c r="S104" s="258"/>
      <c r="T104" s="258"/>
      <c r="U104" s="258"/>
    </row>
    <row r="105" spans="1:21" ht="29.25" customHeight="1">
      <c r="A105" s="258"/>
      <c r="B105" s="256"/>
      <c r="C105" s="270"/>
      <c r="D105" s="256"/>
      <c r="E105" s="256"/>
      <c r="F105" s="256"/>
      <c r="G105" s="256"/>
      <c r="H105" s="281"/>
      <c r="I105" s="256"/>
      <c r="J105" s="256"/>
      <c r="K105" s="258"/>
      <c r="L105" s="256"/>
      <c r="M105" s="256"/>
      <c r="N105" s="258"/>
      <c r="O105" s="258"/>
      <c r="P105" s="258"/>
      <c r="Q105" s="258"/>
      <c r="R105" s="258"/>
      <c r="S105" s="258"/>
      <c r="T105" s="258"/>
      <c r="U105" s="258"/>
    </row>
    <row r="106" spans="1:21" ht="29.25" customHeight="1">
      <c r="A106" s="258"/>
      <c r="B106" s="256"/>
      <c r="C106" s="270"/>
      <c r="D106" s="256"/>
      <c r="E106" s="256"/>
      <c r="F106" s="256"/>
      <c r="G106" s="256"/>
      <c r="H106" s="281"/>
      <c r="I106" s="256"/>
      <c r="J106" s="256"/>
      <c r="K106" s="258"/>
      <c r="L106" s="256"/>
      <c r="M106" s="256"/>
      <c r="N106" s="258"/>
      <c r="O106" s="258"/>
      <c r="P106" s="258"/>
      <c r="Q106" s="258"/>
      <c r="R106" s="258"/>
      <c r="S106" s="258"/>
      <c r="T106" s="258"/>
      <c r="U106" s="258"/>
    </row>
    <row r="107" spans="1:21" ht="29.25" customHeight="1">
      <c r="A107" s="258"/>
      <c r="B107" s="256"/>
      <c r="C107" s="270"/>
      <c r="D107" s="256"/>
      <c r="E107" s="256"/>
      <c r="F107" s="256"/>
      <c r="G107" s="256"/>
      <c r="H107" s="281"/>
      <c r="I107" s="256"/>
      <c r="J107" s="256"/>
      <c r="K107" s="258"/>
      <c r="L107" s="256"/>
      <c r="M107" s="256"/>
      <c r="N107" s="258"/>
      <c r="O107" s="258"/>
      <c r="P107" s="258"/>
      <c r="Q107" s="258"/>
      <c r="R107" s="258"/>
      <c r="S107" s="258"/>
      <c r="T107" s="258"/>
      <c r="U107" s="258"/>
    </row>
    <row r="108" spans="1:21" ht="29.25" customHeight="1">
      <c r="A108" s="258"/>
      <c r="B108" s="256"/>
      <c r="C108" s="270"/>
      <c r="D108" s="256"/>
      <c r="E108" s="256"/>
      <c r="F108" s="256"/>
      <c r="G108" s="256"/>
      <c r="H108" s="281"/>
      <c r="I108" s="256"/>
      <c r="J108" s="256"/>
      <c r="K108" s="258"/>
      <c r="L108" s="256"/>
      <c r="M108" s="256"/>
      <c r="N108" s="258"/>
      <c r="O108" s="258"/>
      <c r="P108" s="258"/>
      <c r="Q108" s="258"/>
      <c r="R108" s="258"/>
      <c r="S108" s="258"/>
      <c r="T108" s="258"/>
      <c r="U108" s="258"/>
    </row>
    <row r="109" spans="1:21" ht="29.25" customHeight="1">
      <c r="A109" s="258"/>
      <c r="B109" s="256"/>
      <c r="C109" s="270"/>
      <c r="D109" s="256"/>
      <c r="E109" s="256"/>
      <c r="F109" s="256"/>
      <c r="G109" s="256"/>
      <c r="H109" s="281"/>
      <c r="I109" s="256"/>
      <c r="J109" s="256"/>
      <c r="K109" s="258"/>
      <c r="L109" s="256"/>
      <c r="M109" s="256"/>
      <c r="N109" s="258"/>
      <c r="O109" s="258"/>
      <c r="P109" s="258"/>
      <c r="Q109" s="258"/>
      <c r="R109" s="258"/>
      <c r="S109" s="258"/>
      <c r="T109" s="258"/>
      <c r="U109" s="258"/>
    </row>
    <row r="110" spans="1:21" ht="29.25" customHeight="1">
      <c r="A110" s="258"/>
      <c r="B110" s="256"/>
      <c r="C110" s="270"/>
      <c r="D110" s="256"/>
      <c r="E110" s="256"/>
      <c r="F110" s="256"/>
      <c r="G110" s="256"/>
      <c r="H110" s="281"/>
      <c r="I110" s="256"/>
      <c r="J110" s="256"/>
      <c r="K110" s="258"/>
      <c r="L110" s="256"/>
      <c r="M110" s="256"/>
      <c r="N110" s="258"/>
      <c r="O110" s="258"/>
      <c r="P110" s="258"/>
      <c r="Q110" s="258"/>
      <c r="R110" s="258"/>
      <c r="S110" s="258"/>
      <c r="T110" s="258"/>
      <c r="U110" s="258"/>
    </row>
    <row r="111" spans="1:21" ht="29.25" customHeight="1">
      <c r="A111" s="258"/>
      <c r="B111" s="256"/>
      <c r="C111" s="270"/>
      <c r="D111" s="256"/>
      <c r="E111" s="256"/>
      <c r="F111" s="256"/>
      <c r="G111" s="256"/>
      <c r="H111" s="281"/>
      <c r="I111" s="256"/>
      <c r="J111" s="256"/>
      <c r="K111" s="258"/>
      <c r="L111" s="256"/>
      <c r="M111" s="256"/>
      <c r="N111" s="258"/>
      <c r="O111" s="258"/>
      <c r="P111" s="258"/>
      <c r="Q111" s="258"/>
      <c r="R111" s="258"/>
      <c r="S111" s="258"/>
      <c r="T111" s="258"/>
      <c r="U111" s="258"/>
    </row>
    <row r="112" spans="1:21" ht="29.25" customHeight="1">
      <c r="A112" s="258"/>
      <c r="B112" s="256"/>
      <c r="C112" s="270"/>
      <c r="D112" s="256"/>
      <c r="E112" s="256"/>
      <c r="F112" s="256"/>
      <c r="G112" s="256"/>
      <c r="H112" s="281"/>
      <c r="I112" s="256"/>
      <c r="J112" s="256"/>
      <c r="K112" s="258"/>
      <c r="L112" s="256"/>
      <c r="M112" s="256"/>
      <c r="N112" s="258"/>
      <c r="O112" s="258"/>
      <c r="P112" s="258"/>
      <c r="Q112" s="258"/>
      <c r="R112" s="258"/>
      <c r="S112" s="258"/>
      <c r="T112" s="258"/>
      <c r="U112" s="258"/>
    </row>
    <row r="113" spans="1:21" ht="29.25" customHeight="1">
      <c r="A113" s="258"/>
      <c r="B113" s="256"/>
      <c r="C113" s="270"/>
      <c r="D113" s="256"/>
      <c r="E113" s="256"/>
      <c r="F113" s="256"/>
      <c r="G113" s="256"/>
      <c r="H113" s="281"/>
      <c r="I113" s="256"/>
      <c r="J113" s="256"/>
      <c r="K113" s="258"/>
      <c r="L113" s="256"/>
      <c r="M113" s="256"/>
      <c r="N113" s="258"/>
      <c r="O113" s="258"/>
      <c r="P113" s="258"/>
      <c r="Q113" s="258"/>
      <c r="R113" s="258"/>
      <c r="S113" s="258"/>
      <c r="T113" s="258"/>
      <c r="U113" s="258"/>
    </row>
    <row r="114" spans="1:21" ht="29.25" customHeight="1">
      <c r="A114" s="258"/>
      <c r="B114" s="256"/>
      <c r="C114" s="270"/>
      <c r="D114" s="256"/>
      <c r="E114" s="256"/>
      <c r="F114" s="256"/>
      <c r="G114" s="256"/>
      <c r="H114" s="281"/>
      <c r="I114" s="256"/>
      <c r="J114" s="256"/>
      <c r="K114" s="258"/>
      <c r="L114" s="256"/>
      <c r="M114" s="256"/>
      <c r="N114" s="258"/>
      <c r="O114" s="258"/>
      <c r="P114" s="258"/>
      <c r="Q114" s="258"/>
      <c r="R114" s="258"/>
      <c r="S114" s="258"/>
      <c r="T114" s="258"/>
      <c r="U114" s="258"/>
    </row>
    <row r="115" spans="1:21" ht="29.25" customHeight="1">
      <c r="A115" s="258"/>
      <c r="B115" s="256"/>
      <c r="C115" s="270"/>
      <c r="D115" s="256"/>
      <c r="E115" s="256"/>
      <c r="F115" s="256"/>
      <c r="G115" s="256"/>
      <c r="H115" s="281"/>
      <c r="I115" s="256"/>
      <c r="J115" s="256"/>
      <c r="K115" s="258"/>
      <c r="L115" s="256"/>
      <c r="M115" s="256"/>
      <c r="N115" s="258"/>
      <c r="O115" s="258"/>
      <c r="P115" s="258"/>
      <c r="Q115" s="258"/>
      <c r="R115" s="258"/>
      <c r="S115" s="258"/>
      <c r="T115" s="258"/>
      <c r="U115" s="258"/>
    </row>
    <row r="116" spans="1:21" ht="29.25" customHeight="1">
      <c r="A116" s="258"/>
      <c r="B116" s="256"/>
      <c r="C116" s="270"/>
      <c r="D116" s="256"/>
      <c r="E116" s="256"/>
      <c r="F116" s="256"/>
      <c r="G116" s="256"/>
      <c r="H116" s="281"/>
      <c r="I116" s="256"/>
      <c r="J116" s="256"/>
      <c r="K116" s="258"/>
      <c r="L116" s="256"/>
      <c r="M116" s="256"/>
      <c r="N116" s="258"/>
      <c r="O116" s="258"/>
      <c r="P116" s="258"/>
      <c r="Q116" s="258"/>
      <c r="R116" s="258"/>
      <c r="S116" s="258"/>
      <c r="T116" s="258"/>
      <c r="U116" s="258"/>
    </row>
    <row r="117" spans="1:21" ht="29.25" customHeight="1">
      <c r="A117" s="258"/>
      <c r="B117" s="256"/>
      <c r="C117" s="270"/>
      <c r="D117" s="256"/>
      <c r="E117" s="256"/>
      <c r="F117" s="256"/>
      <c r="G117" s="256"/>
      <c r="H117" s="281"/>
      <c r="I117" s="256"/>
      <c r="J117" s="256"/>
      <c r="K117" s="258"/>
      <c r="L117" s="256"/>
      <c r="M117" s="256"/>
      <c r="N117" s="258"/>
      <c r="O117" s="258"/>
      <c r="P117" s="258"/>
      <c r="Q117" s="258"/>
      <c r="R117" s="258"/>
      <c r="S117" s="258"/>
      <c r="T117" s="258"/>
      <c r="U117" s="258"/>
    </row>
    <row r="118" spans="1:21" ht="29.25" customHeight="1">
      <c r="A118" s="258"/>
      <c r="B118" s="256"/>
      <c r="C118" s="270"/>
      <c r="D118" s="256"/>
      <c r="E118" s="256"/>
      <c r="F118" s="256"/>
      <c r="G118" s="256"/>
      <c r="H118" s="281"/>
      <c r="I118" s="256"/>
      <c r="J118" s="256"/>
      <c r="K118" s="258"/>
      <c r="L118" s="256"/>
      <c r="M118" s="256"/>
      <c r="N118" s="258"/>
      <c r="O118" s="258"/>
      <c r="P118" s="258"/>
      <c r="Q118" s="258"/>
      <c r="R118" s="258"/>
      <c r="S118" s="258"/>
      <c r="T118" s="258"/>
      <c r="U118" s="258"/>
    </row>
    <row r="119" spans="1:21" ht="29.25" customHeight="1">
      <c r="A119" s="258"/>
      <c r="B119" s="256"/>
      <c r="C119" s="270"/>
      <c r="D119" s="256"/>
      <c r="E119" s="256"/>
      <c r="F119" s="256"/>
      <c r="G119" s="256"/>
      <c r="H119" s="281"/>
      <c r="I119" s="256"/>
      <c r="J119" s="256"/>
      <c r="K119" s="258"/>
      <c r="L119" s="256"/>
      <c r="M119" s="256"/>
      <c r="N119" s="258"/>
      <c r="O119" s="258"/>
      <c r="P119" s="258"/>
      <c r="Q119" s="258"/>
      <c r="R119" s="258"/>
      <c r="S119" s="258"/>
      <c r="T119" s="258"/>
      <c r="U119" s="258"/>
    </row>
    <row r="120" spans="1:21" ht="29.25" customHeight="1">
      <c r="A120" s="258"/>
      <c r="B120" s="256"/>
      <c r="C120" s="270"/>
      <c r="D120" s="256"/>
      <c r="E120" s="256"/>
      <c r="F120" s="256"/>
      <c r="G120" s="256"/>
      <c r="H120" s="281"/>
      <c r="I120" s="256"/>
      <c r="J120" s="256"/>
      <c r="K120" s="258"/>
      <c r="L120" s="256"/>
      <c r="M120" s="256"/>
      <c r="N120" s="258"/>
      <c r="O120" s="258"/>
      <c r="P120" s="258"/>
      <c r="Q120" s="258"/>
      <c r="R120" s="258"/>
      <c r="S120" s="258"/>
      <c r="T120" s="258"/>
      <c r="U120" s="258"/>
    </row>
    <row r="121" spans="1:21" ht="29.25" customHeight="1">
      <c r="A121" s="258"/>
      <c r="B121" s="256"/>
      <c r="C121" s="270"/>
      <c r="D121" s="256"/>
      <c r="E121" s="256"/>
      <c r="F121" s="256"/>
      <c r="G121" s="256"/>
      <c r="H121" s="281"/>
      <c r="I121" s="256"/>
      <c r="J121" s="256"/>
      <c r="K121" s="258"/>
      <c r="L121" s="256"/>
      <c r="M121" s="256"/>
      <c r="N121" s="258"/>
      <c r="O121" s="258"/>
      <c r="P121" s="258"/>
      <c r="Q121" s="258"/>
      <c r="R121" s="258"/>
      <c r="S121" s="258"/>
      <c r="T121" s="258"/>
      <c r="U121" s="258"/>
    </row>
    <row r="122" spans="1:21" ht="29.25" customHeight="1">
      <c r="A122" s="258"/>
      <c r="B122" s="256"/>
      <c r="C122" s="270"/>
      <c r="D122" s="256"/>
      <c r="E122" s="256"/>
      <c r="F122" s="256"/>
      <c r="G122" s="256"/>
      <c r="H122" s="281"/>
      <c r="I122" s="256"/>
      <c r="J122" s="256"/>
      <c r="K122" s="258"/>
      <c r="L122" s="256"/>
      <c r="M122" s="256"/>
      <c r="N122" s="258"/>
      <c r="O122" s="258"/>
      <c r="P122" s="258"/>
      <c r="Q122" s="258"/>
      <c r="R122" s="258"/>
      <c r="S122" s="258"/>
      <c r="T122" s="258"/>
      <c r="U122" s="258"/>
    </row>
    <row r="123" spans="1:21" ht="29.25" customHeight="1">
      <c r="A123" s="258"/>
      <c r="B123" s="256"/>
      <c r="C123" s="270"/>
      <c r="D123" s="256"/>
      <c r="E123" s="256"/>
      <c r="F123" s="256"/>
      <c r="G123" s="256"/>
      <c r="H123" s="281"/>
      <c r="I123" s="256"/>
      <c r="J123" s="256"/>
      <c r="K123" s="258"/>
      <c r="L123" s="256"/>
      <c r="M123" s="256"/>
      <c r="N123" s="258"/>
      <c r="O123" s="258"/>
      <c r="P123" s="258"/>
      <c r="Q123" s="258"/>
      <c r="R123" s="258"/>
      <c r="S123" s="258"/>
      <c r="T123" s="258"/>
      <c r="U123" s="258"/>
    </row>
    <row r="124" spans="1:21" ht="29.25" customHeight="1">
      <c r="A124" s="258"/>
      <c r="B124" s="256"/>
      <c r="C124" s="270"/>
      <c r="D124" s="256"/>
      <c r="E124" s="256"/>
      <c r="F124" s="256"/>
      <c r="G124" s="256"/>
      <c r="H124" s="281"/>
      <c r="I124" s="256"/>
      <c r="J124" s="256"/>
      <c r="K124" s="258"/>
      <c r="L124" s="256"/>
      <c r="M124" s="256"/>
      <c r="N124" s="258"/>
      <c r="O124" s="258"/>
      <c r="P124" s="258"/>
      <c r="Q124" s="258"/>
      <c r="R124" s="258"/>
      <c r="S124" s="258"/>
      <c r="T124" s="258"/>
      <c r="U124" s="258"/>
    </row>
    <row r="125" spans="1:21" ht="29.25" customHeight="1">
      <c r="A125" s="258"/>
      <c r="B125" s="256"/>
      <c r="C125" s="270"/>
      <c r="D125" s="256"/>
      <c r="E125" s="256"/>
      <c r="F125" s="256"/>
      <c r="G125" s="256"/>
      <c r="H125" s="281"/>
      <c r="I125" s="256"/>
      <c r="J125" s="256"/>
      <c r="K125" s="258"/>
      <c r="L125" s="256"/>
      <c r="M125" s="256"/>
      <c r="N125" s="258"/>
      <c r="O125" s="258"/>
      <c r="P125" s="258"/>
      <c r="Q125" s="258"/>
      <c r="R125" s="258"/>
      <c r="S125" s="258"/>
      <c r="T125" s="258"/>
      <c r="U125" s="258"/>
    </row>
    <row r="126" spans="1:21" ht="29.25" customHeight="1">
      <c r="A126" s="258"/>
      <c r="B126" s="256"/>
      <c r="C126" s="270"/>
      <c r="D126" s="256"/>
      <c r="E126" s="256"/>
      <c r="F126" s="256"/>
      <c r="G126" s="256"/>
      <c r="H126" s="281"/>
      <c r="I126" s="256"/>
      <c r="J126" s="256"/>
      <c r="K126" s="258"/>
      <c r="L126" s="256"/>
      <c r="M126" s="256"/>
      <c r="N126" s="258"/>
      <c r="O126" s="258"/>
      <c r="P126" s="258"/>
      <c r="Q126" s="258"/>
      <c r="R126" s="258"/>
      <c r="S126" s="258"/>
      <c r="T126" s="258"/>
      <c r="U126" s="258"/>
    </row>
    <row r="127" spans="1:21" ht="29.25" customHeight="1">
      <c r="A127" s="258"/>
      <c r="B127" s="256"/>
      <c r="C127" s="270"/>
      <c r="D127" s="256"/>
      <c r="E127" s="256"/>
      <c r="F127" s="256"/>
      <c r="G127" s="256"/>
      <c r="H127" s="281"/>
      <c r="I127" s="256"/>
      <c r="J127" s="256"/>
      <c r="K127" s="258"/>
      <c r="L127" s="256"/>
      <c r="M127" s="256"/>
      <c r="N127" s="258"/>
      <c r="O127" s="258"/>
      <c r="P127" s="258"/>
      <c r="Q127" s="258"/>
      <c r="R127" s="258"/>
      <c r="S127" s="258"/>
      <c r="T127" s="258"/>
      <c r="U127" s="258"/>
    </row>
    <row r="128" spans="1:21" ht="29.25" customHeight="1">
      <c r="A128" s="258"/>
      <c r="B128" s="256"/>
      <c r="C128" s="270"/>
      <c r="D128" s="256"/>
      <c r="E128" s="256"/>
      <c r="F128" s="256"/>
      <c r="G128" s="256"/>
      <c r="H128" s="281"/>
      <c r="I128" s="256"/>
      <c r="J128" s="256"/>
      <c r="K128" s="258"/>
      <c r="L128" s="256"/>
      <c r="M128" s="256"/>
      <c r="N128" s="258"/>
      <c r="O128" s="258"/>
      <c r="P128" s="258"/>
      <c r="Q128" s="258"/>
      <c r="R128" s="258"/>
      <c r="S128" s="258"/>
      <c r="T128" s="258"/>
      <c r="U128" s="258"/>
    </row>
    <row r="129" spans="1:21" ht="29.25" customHeight="1">
      <c r="A129" s="258"/>
      <c r="B129" s="256"/>
      <c r="C129" s="270"/>
      <c r="D129" s="256"/>
      <c r="E129" s="256"/>
      <c r="F129" s="256"/>
      <c r="G129" s="256"/>
      <c r="H129" s="281"/>
      <c r="I129" s="256"/>
      <c r="J129" s="256"/>
      <c r="K129" s="258"/>
      <c r="L129" s="256"/>
      <c r="M129" s="256"/>
      <c r="N129" s="258"/>
      <c r="O129" s="258"/>
      <c r="P129" s="258"/>
      <c r="Q129" s="258"/>
      <c r="R129" s="258"/>
      <c r="S129" s="258"/>
      <c r="T129" s="258"/>
      <c r="U129" s="258"/>
    </row>
    <row r="130" spans="1:21" ht="29.25" customHeight="1">
      <c r="A130" s="258"/>
      <c r="B130" s="256"/>
      <c r="C130" s="270"/>
      <c r="D130" s="256"/>
      <c r="E130" s="256"/>
      <c r="F130" s="256"/>
      <c r="G130" s="256"/>
      <c r="H130" s="281"/>
      <c r="I130" s="256"/>
      <c r="J130" s="256"/>
      <c r="K130" s="258"/>
      <c r="L130" s="256"/>
      <c r="M130" s="256"/>
      <c r="N130" s="258"/>
      <c r="O130" s="258"/>
      <c r="P130" s="258"/>
      <c r="Q130" s="258"/>
      <c r="R130" s="258"/>
      <c r="S130" s="258"/>
      <c r="T130" s="258"/>
      <c r="U130" s="258"/>
    </row>
    <row r="131" spans="1:21" ht="29.25" customHeight="1">
      <c r="A131" s="258"/>
      <c r="B131" s="256"/>
      <c r="C131" s="270"/>
      <c r="D131" s="256"/>
      <c r="E131" s="256"/>
      <c r="F131" s="256"/>
      <c r="G131" s="256"/>
      <c r="H131" s="281"/>
      <c r="I131" s="256"/>
      <c r="J131" s="256"/>
      <c r="K131" s="258"/>
      <c r="L131" s="256"/>
      <c r="M131" s="256"/>
      <c r="N131" s="258"/>
      <c r="O131" s="258"/>
      <c r="P131" s="258"/>
      <c r="Q131" s="258"/>
      <c r="R131" s="258"/>
      <c r="S131" s="258"/>
      <c r="T131" s="258"/>
      <c r="U131" s="258"/>
    </row>
    <row r="132" spans="1:21" ht="29.25" customHeight="1">
      <c r="A132" s="258"/>
      <c r="B132" s="256"/>
      <c r="C132" s="270"/>
      <c r="D132" s="256"/>
      <c r="E132" s="256"/>
      <c r="F132" s="256"/>
      <c r="G132" s="256"/>
      <c r="H132" s="281"/>
      <c r="I132" s="256"/>
      <c r="J132" s="256"/>
      <c r="K132" s="258"/>
      <c r="L132" s="256"/>
      <c r="M132" s="256"/>
      <c r="N132" s="258"/>
      <c r="O132" s="258"/>
      <c r="P132" s="258"/>
      <c r="Q132" s="258"/>
      <c r="R132" s="258"/>
      <c r="S132" s="258"/>
      <c r="T132" s="258"/>
      <c r="U132" s="258"/>
    </row>
    <row r="133" spans="1:21" ht="29.25" customHeight="1">
      <c r="A133" s="258"/>
      <c r="B133" s="256"/>
      <c r="C133" s="270"/>
      <c r="D133" s="256"/>
      <c r="E133" s="256"/>
      <c r="F133" s="256"/>
      <c r="G133" s="256"/>
      <c r="H133" s="281"/>
      <c r="I133" s="256"/>
      <c r="J133" s="256"/>
      <c r="K133" s="258"/>
      <c r="L133" s="256"/>
      <c r="M133" s="256"/>
      <c r="N133" s="258"/>
      <c r="O133" s="258"/>
      <c r="P133" s="258"/>
      <c r="Q133" s="258"/>
      <c r="R133" s="258"/>
      <c r="S133" s="258"/>
      <c r="T133" s="258"/>
      <c r="U133" s="258"/>
    </row>
    <row r="134" spans="1:21" ht="29.25" customHeight="1">
      <c r="A134" s="258"/>
      <c r="B134" s="256"/>
      <c r="C134" s="270"/>
      <c r="D134" s="256"/>
      <c r="E134" s="256"/>
      <c r="F134" s="256"/>
      <c r="G134" s="256"/>
      <c r="H134" s="281"/>
      <c r="I134" s="256"/>
      <c r="J134" s="256"/>
      <c r="K134" s="258"/>
      <c r="L134" s="256"/>
      <c r="M134" s="256"/>
      <c r="N134" s="258"/>
      <c r="O134" s="258"/>
      <c r="P134" s="258"/>
      <c r="Q134" s="258"/>
      <c r="R134" s="258"/>
      <c r="S134" s="258"/>
      <c r="T134" s="258"/>
      <c r="U134" s="258"/>
    </row>
    <row r="135" spans="1:21" ht="29.25" customHeight="1">
      <c r="A135" s="258"/>
      <c r="B135" s="256"/>
      <c r="C135" s="270"/>
      <c r="D135" s="256"/>
      <c r="E135" s="256"/>
      <c r="F135" s="256"/>
      <c r="G135" s="256"/>
      <c r="H135" s="281"/>
      <c r="I135" s="256"/>
      <c r="J135" s="256"/>
      <c r="K135" s="258"/>
      <c r="L135" s="256"/>
      <c r="M135" s="256"/>
      <c r="N135" s="258"/>
      <c r="O135" s="258"/>
      <c r="P135" s="258"/>
      <c r="Q135" s="258"/>
      <c r="R135" s="258"/>
      <c r="S135" s="258"/>
      <c r="T135" s="258"/>
      <c r="U135" s="258"/>
    </row>
    <row r="136" spans="1:21" ht="29.25" customHeight="1">
      <c r="A136" s="258"/>
      <c r="B136" s="256"/>
      <c r="C136" s="270"/>
      <c r="D136" s="256"/>
      <c r="E136" s="256"/>
      <c r="F136" s="256"/>
      <c r="G136" s="256"/>
      <c r="H136" s="281"/>
      <c r="I136" s="256"/>
      <c r="J136" s="256"/>
      <c r="K136" s="258"/>
      <c r="L136" s="256"/>
      <c r="M136" s="256"/>
      <c r="N136" s="258"/>
      <c r="O136" s="258"/>
      <c r="P136" s="258"/>
      <c r="Q136" s="258"/>
      <c r="R136" s="258"/>
      <c r="S136" s="258"/>
      <c r="T136" s="258"/>
      <c r="U136" s="258"/>
    </row>
    <row r="137" spans="1:21" ht="29.25" customHeight="1">
      <c r="A137" s="258"/>
      <c r="B137" s="256"/>
      <c r="C137" s="270"/>
      <c r="D137" s="256"/>
      <c r="E137" s="256"/>
      <c r="F137" s="256"/>
      <c r="G137" s="256"/>
      <c r="H137" s="281"/>
      <c r="I137" s="256"/>
      <c r="J137" s="256"/>
      <c r="K137" s="258"/>
      <c r="L137" s="256"/>
      <c r="M137" s="256"/>
      <c r="N137" s="258"/>
      <c r="O137" s="258"/>
      <c r="P137" s="258"/>
      <c r="Q137" s="258"/>
      <c r="R137" s="258"/>
      <c r="S137" s="258"/>
      <c r="T137" s="258"/>
      <c r="U137" s="258"/>
    </row>
    <row r="138" spans="1:21" ht="29.25" customHeight="1">
      <c r="A138" s="258"/>
      <c r="B138" s="256"/>
      <c r="C138" s="270"/>
      <c r="D138" s="256"/>
      <c r="E138" s="256"/>
      <c r="F138" s="256"/>
      <c r="G138" s="256"/>
      <c r="H138" s="281"/>
      <c r="I138" s="256"/>
      <c r="J138" s="256"/>
      <c r="K138" s="258"/>
      <c r="L138" s="256"/>
      <c r="M138" s="256"/>
      <c r="N138" s="258"/>
      <c r="O138" s="258"/>
      <c r="P138" s="258"/>
      <c r="Q138" s="258"/>
      <c r="R138" s="258"/>
      <c r="S138" s="258"/>
      <c r="T138" s="258"/>
      <c r="U138" s="258"/>
    </row>
    <row r="139" spans="1:21" ht="29.25" customHeight="1">
      <c r="A139" s="258"/>
      <c r="B139" s="256"/>
      <c r="C139" s="270"/>
      <c r="D139" s="256"/>
      <c r="E139" s="256"/>
      <c r="F139" s="256"/>
      <c r="G139" s="256"/>
      <c r="H139" s="281"/>
      <c r="I139" s="256"/>
      <c r="J139" s="256"/>
      <c r="K139" s="258"/>
      <c r="L139" s="256"/>
      <c r="M139" s="256"/>
      <c r="N139" s="258"/>
      <c r="O139" s="258"/>
      <c r="P139" s="258"/>
      <c r="Q139" s="258"/>
      <c r="R139" s="258"/>
      <c r="S139" s="258"/>
      <c r="T139" s="258"/>
      <c r="U139" s="258"/>
    </row>
    <row r="140" spans="1:21" ht="29.25" customHeight="1">
      <c r="A140" s="258"/>
      <c r="B140" s="256"/>
      <c r="C140" s="270"/>
      <c r="D140" s="256"/>
      <c r="E140" s="256"/>
      <c r="F140" s="256"/>
      <c r="G140" s="256"/>
      <c r="H140" s="281"/>
      <c r="I140" s="256"/>
      <c r="J140" s="256"/>
      <c r="K140" s="258"/>
      <c r="L140" s="256"/>
      <c r="M140" s="256"/>
      <c r="N140" s="258"/>
      <c r="O140" s="258"/>
      <c r="P140" s="258"/>
      <c r="Q140" s="258"/>
      <c r="R140" s="258"/>
      <c r="S140" s="258"/>
      <c r="T140" s="258"/>
      <c r="U140" s="258"/>
    </row>
    <row r="141" spans="1:21" ht="29.25" customHeight="1">
      <c r="A141" s="258"/>
      <c r="B141" s="256"/>
      <c r="C141" s="270"/>
      <c r="D141" s="256"/>
      <c r="E141" s="256"/>
      <c r="F141" s="256"/>
      <c r="G141" s="256"/>
      <c r="H141" s="281"/>
      <c r="I141" s="256"/>
      <c r="J141" s="256"/>
      <c r="K141" s="258"/>
      <c r="L141" s="256"/>
      <c r="M141" s="256"/>
      <c r="N141" s="258"/>
      <c r="O141" s="258"/>
      <c r="P141" s="258"/>
      <c r="Q141" s="258"/>
      <c r="R141" s="258"/>
      <c r="S141" s="258"/>
      <c r="T141" s="258"/>
      <c r="U141" s="258"/>
    </row>
    <row r="142" spans="1:21" ht="29.25" customHeight="1">
      <c r="A142" s="258"/>
      <c r="B142" s="256"/>
      <c r="C142" s="270"/>
      <c r="D142" s="256"/>
      <c r="E142" s="256"/>
      <c r="F142" s="256"/>
      <c r="G142" s="256"/>
      <c r="H142" s="281"/>
      <c r="I142" s="256"/>
      <c r="J142" s="256"/>
      <c r="K142" s="258"/>
      <c r="L142" s="256"/>
      <c r="M142" s="256"/>
      <c r="N142" s="258"/>
      <c r="O142" s="258"/>
      <c r="P142" s="258"/>
      <c r="Q142" s="258"/>
      <c r="R142" s="258"/>
      <c r="S142" s="258"/>
      <c r="T142" s="258"/>
      <c r="U142" s="258"/>
    </row>
    <row r="143" spans="1:21" ht="29.25" customHeight="1">
      <c r="A143" s="258"/>
      <c r="B143" s="256"/>
      <c r="C143" s="270"/>
      <c r="D143" s="256"/>
      <c r="E143" s="256"/>
      <c r="F143" s="256"/>
      <c r="G143" s="256"/>
      <c r="H143" s="281"/>
      <c r="I143" s="256"/>
      <c r="J143" s="256"/>
      <c r="K143" s="258"/>
      <c r="L143" s="256"/>
      <c r="M143" s="256"/>
      <c r="N143" s="258"/>
      <c r="O143" s="258"/>
      <c r="P143" s="258"/>
      <c r="Q143" s="258"/>
      <c r="R143" s="258"/>
      <c r="S143" s="258"/>
      <c r="T143" s="258"/>
      <c r="U143" s="258"/>
    </row>
    <row r="144" spans="1:21" ht="29.25" customHeight="1">
      <c r="A144" s="258"/>
      <c r="B144" s="256"/>
      <c r="C144" s="270"/>
      <c r="D144" s="256"/>
      <c r="E144" s="256"/>
      <c r="F144" s="256"/>
      <c r="G144" s="256"/>
      <c r="H144" s="281"/>
      <c r="I144" s="256"/>
      <c r="J144" s="256"/>
      <c r="K144" s="258"/>
      <c r="L144" s="256"/>
      <c r="M144" s="256"/>
      <c r="N144" s="258"/>
      <c r="O144" s="258"/>
      <c r="P144" s="258"/>
      <c r="Q144" s="258"/>
      <c r="R144" s="258"/>
      <c r="S144" s="258"/>
      <c r="T144" s="258"/>
      <c r="U144" s="258"/>
    </row>
    <row r="145" spans="1:21" ht="29.25" customHeight="1">
      <c r="A145" s="258"/>
      <c r="B145" s="256"/>
      <c r="C145" s="270"/>
      <c r="D145" s="256"/>
      <c r="E145" s="256"/>
      <c r="F145" s="256"/>
      <c r="G145" s="256"/>
      <c r="H145" s="281"/>
      <c r="I145" s="256"/>
      <c r="J145" s="256"/>
      <c r="K145" s="258"/>
      <c r="L145" s="256"/>
      <c r="M145" s="256"/>
      <c r="N145" s="258"/>
      <c r="O145" s="258"/>
      <c r="P145" s="258"/>
      <c r="Q145" s="258"/>
      <c r="R145" s="258"/>
      <c r="S145" s="258"/>
      <c r="T145" s="258"/>
      <c r="U145" s="258"/>
    </row>
    <row r="146" spans="1:21" ht="29.25" customHeight="1">
      <c r="A146" s="258"/>
      <c r="B146" s="256"/>
      <c r="C146" s="270"/>
      <c r="D146" s="256"/>
      <c r="E146" s="256"/>
      <c r="F146" s="256"/>
      <c r="G146" s="256"/>
      <c r="H146" s="281"/>
      <c r="I146" s="256"/>
      <c r="J146" s="256"/>
      <c r="K146" s="258"/>
      <c r="L146" s="256"/>
      <c r="M146" s="256"/>
      <c r="N146" s="258"/>
      <c r="O146" s="258"/>
      <c r="P146" s="258"/>
      <c r="Q146" s="258"/>
      <c r="R146" s="258"/>
      <c r="S146" s="258"/>
      <c r="T146" s="258"/>
      <c r="U146" s="258"/>
    </row>
    <row r="147" spans="1:21" ht="29.25" customHeight="1">
      <c r="A147" s="258"/>
      <c r="B147" s="256"/>
      <c r="C147" s="270"/>
      <c r="D147" s="256"/>
      <c r="E147" s="256"/>
      <c r="F147" s="256"/>
      <c r="G147" s="256"/>
      <c r="H147" s="281"/>
      <c r="I147" s="256"/>
      <c r="J147" s="256"/>
      <c r="K147" s="258"/>
      <c r="L147" s="256"/>
      <c r="M147" s="256"/>
      <c r="N147" s="258"/>
      <c r="O147" s="258"/>
      <c r="P147" s="258"/>
      <c r="Q147" s="258"/>
      <c r="R147" s="258"/>
      <c r="S147" s="258"/>
      <c r="T147" s="258"/>
      <c r="U147" s="258"/>
    </row>
    <row r="148" spans="1:21" ht="29.25" customHeight="1">
      <c r="A148" s="258"/>
      <c r="B148" s="256"/>
      <c r="C148" s="270"/>
      <c r="D148" s="256"/>
      <c r="E148" s="256"/>
      <c r="F148" s="256"/>
      <c r="G148" s="256"/>
      <c r="H148" s="281"/>
      <c r="I148" s="256"/>
      <c r="J148" s="256"/>
      <c r="K148" s="258"/>
      <c r="L148" s="256"/>
      <c r="M148" s="256"/>
      <c r="N148" s="258"/>
      <c r="O148" s="258"/>
      <c r="P148" s="258"/>
      <c r="Q148" s="258"/>
      <c r="R148" s="258"/>
      <c r="S148" s="258"/>
      <c r="T148" s="258"/>
      <c r="U148" s="258"/>
    </row>
    <row r="149" spans="1:21" ht="29.25" customHeight="1">
      <c r="A149" s="258"/>
      <c r="B149" s="256"/>
      <c r="C149" s="270"/>
      <c r="D149" s="256"/>
      <c r="E149" s="256"/>
      <c r="F149" s="256"/>
      <c r="G149" s="256"/>
      <c r="H149" s="281"/>
      <c r="I149" s="256"/>
      <c r="J149" s="256"/>
      <c r="K149" s="258"/>
      <c r="L149" s="256"/>
      <c r="M149" s="256"/>
      <c r="N149" s="258"/>
      <c r="O149" s="258"/>
      <c r="P149" s="258"/>
      <c r="Q149" s="258"/>
      <c r="R149" s="258"/>
      <c r="S149" s="258"/>
      <c r="T149" s="258"/>
      <c r="U149" s="258"/>
    </row>
    <row r="150" spans="1:21" ht="29.25" customHeight="1">
      <c r="A150" s="258"/>
      <c r="B150" s="256"/>
      <c r="C150" s="270"/>
      <c r="D150" s="256"/>
      <c r="E150" s="256"/>
      <c r="F150" s="256"/>
      <c r="G150" s="256"/>
      <c r="H150" s="281"/>
      <c r="I150" s="256"/>
      <c r="J150" s="256"/>
      <c r="K150" s="258"/>
      <c r="L150" s="256"/>
      <c r="M150" s="256"/>
      <c r="N150" s="258"/>
      <c r="O150" s="258"/>
      <c r="P150" s="258"/>
      <c r="Q150" s="258"/>
      <c r="R150" s="258"/>
      <c r="S150" s="258"/>
      <c r="T150" s="258"/>
      <c r="U150" s="258"/>
    </row>
    <row r="151" spans="1:21" ht="29.25" customHeight="1">
      <c r="A151" s="258"/>
      <c r="B151" s="256"/>
      <c r="C151" s="270"/>
      <c r="D151" s="256"/>
      <c r="E151" s="256"/>
      <c r="F151" s="256"/>
      <c r="G151" s="256"/>
      <c r="H151" s="281"/>
      <c r="I151" s="256"/>
      <c r="J151" s="256"/>
      <c r="K151" s="258"/>
      <c r="L151" s="256"/>
      <c r="M151" s="256"/>
      <c r="N151" s="258"/>
      <c r="O151" s="258"/>
      <c r="P151" s="258"/>
      <c r="Q151" s="258"/>
      <c r="R151" s="258"/>
      <c r="S151" s="258"/>
      <c r="T151" s="258"/>
      <c r="U151" s="258"/>
    </row>
    <row r="152" spans="1:21" ht="29.25" customHeight="1">
      <c r="A152" s="258"/>
      <c r="B152" s="256"/>
      <c r="C152" s="270"/>
      <c r="D152" s="256"/>
      <c r="E152" s="256"/>
      <c r="F152" s="256"/>
      <c r="G152" s="256"/>
      <c r="H152" s="281"/>
      <c r="I152" s="256"/>
      <c r="J152" s="256"/>
      <c r="K152" s="258"/>
      <c r="L152" s="256"/>
      <c r="M152" s="256"/>
      <c r="N152" s="258"/>
      <c r="O152" s="258"/>
      <c r="P152" s="258"/>
      <c r="Q152" s="258"/>
      <c r="R152" s="258"/>
      <c r="S152" s="258"/>
      <c r="T152" s="258"/>
      <c r="U152" s="258"/>
    </row>
    <row r="153" spans="1:21" ht="29.25" customHeight="1">
      <c r="A153" s="258"/>
      <c r="B153" s="256"/>
      <c r="C153" s="270"/>
      <c r="D153" s="256"/>
      <c r="E153" s="256"/>
      <c r="F153" s="256"/>
      <c r="G153" s="256"/>
      <c r="H153" s="281"/>
      <c r="I153" s="256"/>
      <c r="J153" s="256"/>
      <c r="K153" s="258"/>
      <c r="L153" s="256"/>
      <c r="M153" s="256"/>
      <c r="N153" s="258"/>
      <c r="O153" s="258"/>
      <c r="P153" s="258"/>
      <c r="Q153" s="258"/>
      <c r="R153" s="258"/>
      <c r="S153" s="258"/>
      <c r="T153" s="258"/>
      <c r="U153" s="258"/>
    </row>
    <row r="154" spans="1:21" ht="29.25" customHeight="1">
      <c r="A154" s="258"/>
      <c r="B154" s="256"/>
      <c r="C154" s="270"/>
      <c r="D154" s="256"/>
      <c r="E154" s="256"/>
      <c r="F154" s="256"/>
      <c r="G154" s="256"/>
      <c r="H154" s="281"/>
      <c r="I154" s="256"/>
      <c r="J154" s="256"/>
      <c r="K154" s="258"/>
      <c r="L154" s="256"/>
      <c r="M154" s="256"/>
      <c r="N154" s="258"/>
      <c r="O154" s="258"/>
      <c r="P154" s="258"/>
      <c r="Q154" s="258"/>
      <c r="R154" s="258"/>
      <c r="S154" s="258"/>
      <c r="T154" s="258"/>
      <c r="U154" s="258"/>
    </row>
    <row r="155" spans="1:21" ht="29.25" customHeight="1">
      <c r="A155" s="258"/>
      <c r="B155" s="256"/>
      <c r="C155" s="270"/>
      <c r="D155" s="256"/>
      <c r="E155" s="256"/>
      <c r="F155" s="256"/>
      <c r="G155" s="256"/>
      <c r="H155" s="281"/>
      <c r="I155" s="256"/>
      <c r="J155" s="256"/>
      <c r="K155" s="258"/>
      <c r="L155" s="256"/>
      <c r="M155" s="256"/>
      <c r="N155" s="258"/>
      <c r="O155" s="258"/>
      <c r="P155" s="258"/>
      <c r="Q155" s="258"/>
      <c r="R155" s="258"/>
      <c r="S155" s="258"/>
      <c r="T155" s="258"/>
      <c r="U155" s="258"/>
    </row>
    <row r="156" spans="1:21" ht="29.25" customHeight="1">
      <c r="A156" s="258"/>
      <c r="B156" s="256"/>
      <c r="C156" s="270"/>
      <c r="D156" s="256"/>
      <c r="E156" s="256"/>
      <c r="F156" s="256"/>
      <c r="G156" s="256"/>
      <c r="H156" s="281"/>
      <c r="I156" s="256"/>
      <c r="J156" s="256"/>
      <c r="K156" s="258"/>
      <c r="L156" s="256"/>
      <c r="M156" s="256"/>
      <c r="N156" s="258"/>
      <c r="O156" s="258"/>
      <c r="P156" s="258"/>
      <c r="Q156" s="258"/>
      <c r="R156" s="258"/>
      <c r="S156" s="258"/>
      <c r="T156" s="258"/>
      <c r="U156" s="258"/>
    </row>
    <row r="157" spans="1:21" ht="29.25" customHeight="1">
      <c r="A157" s="258"/>
      <c r="B157" s="256"/>
      <c r="C157" s="270"/>
      <c r="D157" s="256"/>
      <c r="E157" s="256"/>
      <c r="F157" s="256"/>
      <c r="G157" s="256"/>
      <c r="H157" s="281"/>
      <c r="I157" s="256"/>
      <c r="J157" s="256"/>
      <c r="K157" s="258"/>
      <c r="L157" s="256"/>
      <c r="M157" s="256"/>
      <c r="N157" s="258"/>
      <c r="O157" s="258"/>
      <c r="P157" s="258"/>
      <c r="Q157" s="258"/>
      <c r="R157" s="258"/>
      <c r="S157" s="258"/>
      <c r="T157" s="258"/>
      <c r="U157" s="258"/>
    </row>
    <row r="158" spans="1:21" ht="29.25" customHeight="1">
      <c r="A158" s="258"/>
      <c r="B158" s="256"/>
      <c r="C158" s="270"/>
      <c r="D158" s="256"/>
      <c r="E158" s="256"/>
      <c r="F158" s="256"/>
      <c r="G158" s="256"/>
      <c r="H158" s="281"/>
      <c r="I158" s="256"/>
      <c r="J158" s="256"/>
      <c r="K158" s="258"/>
      <c r="L158" s="256"/>
      <c r="M158" s="256"/>
      <c r="N158" s="258"/>
      <c r="O158" s="258"/>
      <c r="P158" s="258"/>
      <c r="Q158" s="258"/>
      <c r="R158" s="258"/>
      <c r="S158" s="258"/>
      <c r="T158" s="258"/>
      <c r="U158" s="258"/>
    </row>
    <row r="159" spans="1:21" ht="29.25" customHeight="1">
      <c r="A159" s="258"/>
      <c r="B159" s="256"/>
      <c r="C159" s="270"/>
      <c r="D159" s="256"/>
      <c r="E159" s="256"/>
      <c r="F159" s="256"/>
      <c r="G159" s="256"/>
      <c r="H159" s="281"/>
      <c r="I159" s="256"/>
      <c r="J159" s="256"/>
      <c r="K159" s="258"/>
      <c r="L159" s="256"/>
      <c r="M159" s="256"/>
      <c r="N159" s="258"/>
      <c r="O159" s="258"/>
      <c r="P159" s="258"/>
      <c r="Q159" s="258"/>
      <c r="R159" s="258"/>
      <c r="S159" s="258"/>
      <c r="T159" s="258"/>
      <c r="U159" s="258"/>
    </row>
    <row r="160" spans="1:21" ht="29.25" customHeight="1">
      <c r="A160" s="258"/>
      <c r="B160" s="256"/>
      <c r="C160" s="270"/>
      <c r="D160" s="256"/>
      <c r="E160" s="256"/>
      <c r="F160" s="256"/>
      <c r="G160" s="256"/>
      <c r="H160" s="281"/>
      <c r="I160" s="256"/>
      <c r="J160" s="256"/>
      <c r="K160" s="258"/>
      <c r="L160" s="256"/>
      <c r="M160" s="256"/>
      <c r="N160" s="258"/>
      <c r="O160" s="258"/>
      <c r="P160" s="258"/>
      <c r="Q160" s="258"/>
      <c r="R160" s="258"/>
      <c r="S160" s="258"/>
      <c r="T160" s="258"/>
      <c r="U160" s="258"/>
    </row>
    <row r="161" spans="1:21" ht="29.25" customHeight="1">
      <c r="A161" s="258"/>
      <c r="B161" s="256"/>
      <c r="C161" s="270"/>
      <c r="D161" s="256"/>
      <c r="E161" s="256"/>
      <c r="F161" s="256"/>
      <c r="G161" s="256"/>
      <c r="H161" s="281"/>
      <c r="I161" s="256"/>
      <c r="J161" s="256"/>
      <c r="K161" s="258"/>
      <c r="L161" s="256"/>
      <c r="M161" s="256"/>
      <c r="N161" s="258"/>
      <c r="O161" s="258"/>
      <c r="P161" s="258"/>
      <c r="Q161" s="258"/>
      <c r="R161" s="258"/>
      <c r="S161" s="258"/>
      <c r="T161" s="258"/>
      <c r="U161" s="258"/>
    </row>
    <row r="162" spans="1:21" ht="29.25" customHeight="1">
      <c r="A162" s="258"/>
      <c r="B162" s="256"/>
      <c r="C162" s="270"/>
      <c r="D162" s="256"/>
      <c r="E162" s="256"/>
      <c r="F162" s="256"/>
      <c r="G162" s="256"/>
      <c r="H162" s="281"/>
      <c r="I162" s="256"/>
      <c r="J162" s="256"/>
      <c r="K162" s="258"/>
      <c r="L162" s="256"/>
      <c r="M162" s="256"/>
      <c r="N162" s="258"/>
      <c r="O162" s="258"/>
      <c r="P162" s="258"/>
      <c r="Q162" s="258"/>
      <c r="R162" s="258"/>
      <c r="S162" s="258"/>
      <c r="T162" s="258"/>
      <c r="U162" s="258"/>
    </row>
    <row r="163" spans="1:21" ht="29.25" customHeight="1">
      <c r="A163" s="258"/>
      <c r="B163" s="256"/>
      <c r="C163" s="270"/>
      <c r="D163" s="256"/>
      <c r="E163" s="256"/>
      <c r="F163" s="256"/>
      <c r="G163" s="256"/>
      <c r="H163" s="281"/>
      <c r="I163" s="256"/>
      <c r="J163" s="256"/>
      <c r="K163" s="258"/>
      <c r="L163" s="256"/>
      <c r="M163" s="256"/>
      <c r="N163" s="258"/>
      <c r="O163" s="258"/>
      <c r="P163" s="258"/>
      <c r="Q163" s="258"/>
      <c r="R163" s="258"/>
      <c r="S163" s="258"/>
      <c r="T163" s="258"/>
      <c r="U163" s="258"/>
    </row>
    <row r="164" spans="1:21" ht="29.25" customHeight="1">
      <c r="A164" s="258"/>
      <c r="B164" s="256"/>
      <c r="C164" s="270"/>
      <c r="D164" s="256"/>
      <c r="E164" s="256"/>
      <c r="F164" s="256"/>
      <c r="G164" s="256"/>
      <c r="H164" s="281"/>
      <c r="I164" s="256"/>
      <c r="J164" s="256"/>
      <c r="K164" s="258"/>
      <c r="L164" s="256"/>
      <c r="M164" s="256"/>
      <c r="N164" s="258"/>
      <c r="O164" s="258"/>
      <c r="P164" s="258"/>
      <c r="Q164" s="258"/>
      <c r="R164" s="258"/>
      <c r="S164" s="258"/>
      <c r="T164" s="258"/>
      <c r="U164" s="258"/>
    </row>
    <row r="165" spans="1:21" ht="29.25" customHeight="1">
      <c r="A165" s="258"/>
      <c r="B165" s="256"/>
      <c r="C165" s="270"/>
      <c r="D165" s="256"/>
      <c r="E165" s="256"/>
      <c r="F165" s="256"/>
      <c r="G165" s="256"/>
      <c r="H165" s="281"/>
      <c r="I165" s="256"/>
      <c r="J165" s="256"/>
      <c r="K165" s="258"/>
      <c r="L165" s="256"/>
      <c r="M165" s="256"/>
      <c r="N165" s="258"/>
      <c r="O165" s="258"/>
      <c r="P165" s="258"/>
      <c r="Q165" s="258"/>
      <c r="R165" s="258"/>
      <c r="S165" s="258"/>
      <c r="T165" s="258"/>
      <c r="U165" s="258"/>
    </row>
    <row r="166" spans="1:21" ht="29.25" customHeight="1">
      <c r="A166" s="258"/>
      <c r="B166" s="256"/>
      <c r="C166" s="270"/>
      <c r="D166" s="256"/>
      <c r="E166" s="256"/>
      <c r="F166" s="256"/>
      <c r="G166" s="256"/>
      <c r="H166" s="281"/>
      <c r="I166" s="256"/>
      <c r="J166" s="256"/>
      <c r="K166" s="258"/>
      <c r="L166" s="256"/>
      <c r="M166" s="256"/>
      <c r="N166" s="258"/>
      <c r="O166" s="258"/>
      <c r="P166" s="258"/>
      <c r="Q166" s="258"/>
      <c r="R166" s="258"/>
      <c r="S166" s="258"/>
      <c r="T166" s="258"/>
      <c r="U166" s="258"/>
    </row>
    <row r="167" spans="1:21" ht="29.25" customHeight="1">
      <c r="A167" s="258"/>
      <c r="B167" s="256"/>
      <c r="C167" s="270"/>
      <c r="D167" s="256"/>
      <c r="E167" s="256"/>
      <c r="F167" s="256"/>
      <c r="G167" s="256"/>
      <c r="H167" s="281"/>
      <c r="I167" s="256"/>
      <c r="J167" s="256"/>
      <c r="K167" s="258"/>
      <c r="L167" s="256"/>
      <c r="M167" s="256"/>
      <c r="N167" s="258"/>
      <c r="O167" s="258"/>
      <c r="P167" s="258"/>
      <c r="Q167" s="258"/>
      <c r="R167" s="258"/>
      <c r="S167" s="258"/>
      <c r="T167" s="258"/>
      <c r="U167" s="258"/>
    </row>
    <row r="168" spans="1:21" ht="29.25" customHeight="1">
      <c r="A168" s="258"/>
      <c r="B168" s="256"/>
      <c r="C168" s="270"/>
      <c r="D168" s="256"/>
      <c r="E168" s="256"/>
      <c r="F168" s="256"/>
      <c r="G168" s="256"/>
      <c r="H168" s="281"/>
      <c r="I168" s="256"/>
      <c r="J168" s="256"/>
      <c r="K168" s="258"/>
      <c r="L168" s="256"/>
      <c r="M168" s="256"/>
      <c r="N168" s="258"/>
      <c r="O168" s="258"/>
      <c r="P168" s="258"/>
      <c r="Q168" s="258"/>
      <c r="R168" s="258"/>
      <c r="S168" s="258"/>
      <c r="T168" s="258"/>
      <c r="U168" s="258"/>
    </row>
    <row r="169" spans="1:21" ht="29.25" customHeight="1">
      <c r="A169" s="258"/>
      <c r="B169" s="256"/>
      <c r="C169" s="270"/>
      <c r="D169" s="256"/>
      <c r="E169" s="256"/>
      <c r="F169" s="256"/>
      <c r="G169" s="256"/>
      <c r="H169" s="281"/>
      <c r="I169" s="256"/>
      <c r="J169" s="256"/>
      <c r="K169" s="258"/>
      <c r="L169" s="256"/>
      <c r="M169" s="256"/>
      <c r="N169" s="258"/>
      <c r="O169" s="258"/>
      <c r="P169" s="258"/>
      <c r="Q169" s="258"/>
      <c r="R169" s="258"/>
      <c r="S169" s="258"/>
      <c r="T169" s="258"/>
      <c r="U169" s="258"/>
    </row>
    <row r="170" spans="1:21" ht="29.25" customHeight="1">
      <c r="A170" s="258"/>
      <c r="B170" s="256"/>
      <c r="C170" s="270"/>
      <c r="D170" s="256"/>
      <c r="E170" s="256"/>
      <c r="F170" s="256"/>
      <c r="G170" s="256"/>
      <c r="H170" s="281"/>
      <c r="I170" s="256"/>
      <c r="J170" s="256"/>
      <c r="K170" s="258"/>
      <c r="L170" s="256"/>
      <c r="M170" s="256"/>
      <c r="N170" s="258"/>
      <c r="O170" s="258"/>
      <c r="P170" s="258"/>
      <c r="Q170" s="258"/>
      <c r="R170" s="258"/>
      <c r="S170" s="258"/>
      <c r="T170" s="258"/>
      <c r="U170" s="258"/>
    </row>
    <row r="171" spans="1:21" ht="29.25" customHeight="1">
      <c r="A171" s="258"/>
      <c r="B171" s="256"/>
      <c r="C171" s="270"/>
      <c r="D171" s="256"/>
      <c r="E171" s="256"/>
      <c r="F171" s="256"/>
      <c r="G171" s="256"/>
      <c r="H171" s="281"/>
      <c r="I171" s="256"/>
      <c r="J171" s="256"/>
      <c r="K171" s="258"/>
      <c r="L171" s="256"/>
      <c r="M171" s="256"/>
      <c r="N171" s="258"/>
      <c r="O171" s="258"/>
      <c r="P171" s="258"/>
      <c r="Q171" s="258"/>
      <c r="R171" s="258"/>
      <c r="S171" s="258"/>
      <c r="T171" s="258"/>
      <c r="U171" s="258"/>
    </row>
    <row r="172" spans="1:21" ht="29.25" customHeight="1">
      <c r="A172" s="258"/>
      <c r="B172" s="256"/>
      <c r="C172" s="270"/>
      <c r="D172" s="256"/>
      <c r="E172" s="256"/>
      <c r="F172" s="256"/>
      <c r="G172" s="256"/>
      <c r="H172" s="281"/>
      <c r="I172" s="256"/>
      <c r="J172" s="256"/>
      <c r="K172" s="258"/>
      <c r="L172" s="256"/>
      <c r="M172" s="256"/>
      <c r="N172" s="258"/>
      <c r="O172" s="258"/>
      <c r="P172" s="258"/>
      <c r="Q172" s="258"/>
      <c r="R172" s="258"/>
      <c r="S172" s="258"/>
      <c r="T172" s="258"/>
      <c r="U172" s="258"/>
    </row>
    <row r="173" spans="1:21" ht="29.25" customHeight="1">
      <c r="A173" s="258"/>
      <c r="B173" s="256"/>
      <c r="C173" s="270"/>
      <c r="D173" s="256"/>
      <c r="E173" s="256"/>
      <c r="F173" s="256"/>
      <c r="G173" s="256"/>
      <c r="H173" s="281"/>
      <c r="I173" s="256"/>
      <c r="J173" s="256"/>
      <c r="K173" s="258"/>
      <c r="L173" s="256"/>
      <c r="M173" s="256"/>
      <c r="N173" s="258"/>
      <c r="O173" s="258"/>
      <c r="P173" s="258"/>
      <c r="Q173" s="258"/>
      <c r="R173" s="258"/>
      <c r="S173" s="258"/>
      <c r="T173" s="258"/>
      <c r="U173" s="258"/>
    </row>
    <row r="174" spans="1:21" ht="29.25" customHeight="1">
      <c r="A174" s="258"/>
      <c r="B174" s="256"/>
      <c r="C174" s="270"/>
      <c r="D174" s="256"/>
      <c r="E174" s="256"/>
      <c r="F174" s="256"/>
      <c r="G174" s="256"/>
      <c r="H174" s="281"/>
      <c r="I174" s="256"/>
      <c r="J174" s="256"/>
      <c r="K174" s="258"/>
      <c r="L174" s="256"/>
      <c r="M174" s="256"/>
      <c r="N174" s="258"/>
      <c r="O174" s="258"/>
      <c r="P174" s="258"/>
      <c r="Q174" s="258"/>
      <c r="R174" s="258"/>
      <c r="S174" s="258"/>
      <c r="T174" s="258"/>
      <c r="U174" s="258"/>
    </row>
    <row r="175" spans="1:21" ht="29.25" customHeight="1">
      <c r="A175" s="258"/>
      <c r="B175" s="256"/>
      <c r="C175" s="270"/>
      <c r="D175" s="256"/>
      <c r="E175" s="256"/>
      <c r="F175" s="256"/>
      <c r="G175" s="256"/>
      <c r="H175" s="281"/>
      <c r="I175" s="256"/>
      <c r="J175" s="256"/>
      <c r="K175" s="258"/>
      <c r="L175" s="256"/>
      <c r="M175" s="256"/>
      <c r="N175" s="258"/>
      <c r="O175" s="258"/>
      <c r="P175" s="258"/>
      <c r="Q175" s="258"/>
      <c r="R175" s="258"/>
      <c r="S175" s="258"/>
      <c r="T175" s="258"/>
      <c r="U175" s="258"/>
    </row>
    <row r="176" spans="1:21" ht="29.25" customHeight="1">
      <c r="A176" s="258"/>
      <c r="B176" s="256"/>
      <c r="C176" s="270"/>
      <c r="D176" s="256"/>
      <c r="E176" s="256"/>
      <c r="F176" s="256"/>
      <c r="G176" s="256"/>
      <c r="H176" s="281"/>
      <c r="I176" s="256"/>
      <c r="J176" s="256"/>
      <c r="K176" s="258"/>
      <c r="L176" s="256"/>
      <c r="M176" s="256"/>
      <c r="N176" s="258"/>
      <c r="O176" s="258"/>
      <c r="P176" s="258"/>
      <c r="Q176" s="258"/>
      <c r="R176" s="258"/>
      <c r="S176" s="258"/>
      <c r="T176" s="258"/>
      <c r="U176" s="258"/>
    </row>
    <row r="177" spans="1:21" ht="29.25" customHeight="1">
      <c r="A177" s="258"/>
      <c r="B177" s="256"/>
      <c r="C177" s="270"/>
      <c r="D177" s="256"/>
      <c r="E177" s="256"/>
      <c r="F177" s="256"/>
      <c r="G177" s="256"/>
      <c r="H177" s="281"/>
      <c r="I177" s="256"/>
      <c r="J177" s="256"/>
      <c r="K177" s="258"/>
      <c r="L177" s="256"/>
      <c r="M177" s="256"/>
      <c r="N177" s="258"/>
      <c r="O177" s="258"/>
      <c r="P177" s="258"/>
      <c r="Q177" s="258"/>
      <c r="R177" s="258"/>
      <c r="S177" s="258"/>
      <c r="T177" s="258"/>
      <c r="U177" s="258"/>
    </row>
    <row r="178" spans="1:21" ht="29.25" customHeight="1">
      <c r="A178" s="258"/>
      <c r="B178" s="256"/>
      <c r="C178" s="270"/>
      <c r="D178" s="256"/>
      <c r="E178" s="256"/>
      <c r="F178" s="256"/>
      <c r="G178" s="256"/>
      <c r="H178" s="281"/>
      <c r="I178" s="256"/>
      <c r="J178" s="256"/>
      <c r="K178" s="258"/>
      <c r="L178" s="256"/>
      <c r="M178" s="256"/>
      <c r="N178" s="258"/>
      <c r="O178" s="258"/>
      <c r="P178" s="258"/>
      <c r="Q178" s="258"/>
      <c r="R178" s="258"/>
      <c r="S178" s="258"/>
      <c r="T178" s="258"/>
      <c r="U178" s="258"/>
    </row>
    <row r="179" spans="1:21" ht="29.25" customHeight="1">
      <c r="A179" s="258"/>
      <c r="B179" s="256"/>
      <c r="C179" s="270"/>
      <c r="D179" s="256"/>
      <c r="E179" s="256"/>
      <c r="F179" s="256"/>
      <c r="G179" s="256"/>
      <c r="H179" s="281"/>
      <c r="I179" s="256"/>
      <c r="J179" s="256"/>
      <c r="K179" s="258"/>
      <c r="L179" s="256"/>
      <c r="M179" s="256"/>
      <c r="N179" s="258"/>
      <c r="O179" s="258"/>
      <c r="P179" s="258"/>
      <c r="Q179" s="258"/>
      <c r="R179" s="258"/>
      <c r="S179" s="258"/>
      <c r="T179" s="258"/>
      <c r="U179" s="258"/>
    </row>
    <row r="180" spans="1:21" ht="29.25" customHeight="1">
      <c r="A180" s="258"/>
      <c r="B180" s="256"/>
      <c r="C180" s="270"/>
      <c r="D180" s="256"/>
      <c r="E180" s="256"/>
      <c r="F180" s="256"/>
      <c r="G180" s="256"/>
      <c r="H180" s="281"/>
      <c r="I180" s="256"/>
      <c r="J180" s="256"/>
      <c r="K180" s="258"/>
      <c r="L180" s="256"/>
      <c r="M180" s="256"/>
      <c r="N180" s="258"/>
      <c r="O180" s="258"/>
      <c r="P180" s="258"/>
      <c r="Q180" s="258"/>
      <c r="R180" s="258"/>
      <c r="S180" s="258"/>
      <c r="T180" s="258"/>
      <c r="U180" s="258"/>
    </row>
    <row r="181" spans="1:21" ht="29.25" customHeight="1">
      <c r="A181" s="258"/>
      <c r="B181" s="256"/>
      <c r="C181" s="270"/>
      <c r="D181" s="256"/>
      <c r="E181" s="256"/>
      <c r="F181" s="256"/>
      <c r="G181" s="256"/>
      <c r="H181" s="281"/>
      <c r="I181" s="256"/>
      <c r="J181" s="256"/>
      <c r="K181" s="258"/>
      <c r="L181" s="256"/>
      <c r="M181" s="256"/>
      <c r="N181" s="258"/>
      <c r="O181" s="258"/>
      <c r="P181" s="258"/>
      <c r="Q181" s="258"/>
      <c r="R181" s="258"/>
      <c r="S181" s="258"/>
      <c r="T181" s="258"/>
      <c r="U181" s="258"/>
    </row>
    <row r="182" spans="1:21" ht="29.25" customHeight="1">
      <c r="A182" s="258"/>
      <c r="B182" s="256"/>
      <c r="C182" s="270"/>
      <c r="D182" s="256"/>
      <c r="E182" s="256"/>
      <c r="F182" s="256"/>
      <c r="G182" s="256"/>
      <c r="H182" s="281"/>
      <c r="I182" s="256"/>
      <c r="J182" s="256"/>
      <c r="K182" s="258"/>
      <c r="L182" s="256"/>
      <c r="M182" s="256"/>
      <c r="N182" s="258"/>
      <c r="O182" s="258"/>
      <c r="P182" s="258"/>
      <c r="Q182" s="258"/>
      <c r="R182" s="258"/>
      <c r="S182" s="258"/>
      <c r="T182" s="258"/>
      <c r="U182" s="258"/>
    </row>
    <row r="183" spans="1:21" ht="29.25" customHeight="1">
      <c r="A183" s="258"/>
      <c r="B183" s="256"/>
      <c r="C183" s="270"/>
      <c r="D183" s="256"/>
      <c r="E183" s="256"/>
      <c r="F183" s="256"/>
      <c r="G183" s="256"/>
      <c r="H183" s="281"/>
      <c r="I183" s="256"/>
      <c r="J183" s="256"/>
      <c r="K183" s="258"/>
      <c r="L183" s="256"/>
      <c r="M183" s="256"/>
      <c r="N183" s="258"/>
      <c r="O183" s="258"/>
      <c r="P183" s="258"/>
      <c r="Q183" s="258"/>
      <c r="R183" s="258"/>
      <c r="S183" s="258"/>
      <c r="T183" s="258"/>
      <c r="U183" s="258"/>
    </row>
    <row r="184" spans="1:21" ht="29.25" customHeight="1">
      <c r="A184" s="258"/>
      <c r="B184" s="256"/>
      <c r="C184" s="270"/>
      <c r="D184" s="256"/>
      <c r="E184" s="256"/>
      <c r="F184" s="256"/>
      <c r="G184" s="256"/>
      <c r="H184" s="281"/>
      <c r="I184" s="256"/>
      <c r="J184" s="256"/>
      <c r="K184" s="258"/>
      <c r="L184" s="256"/>
      <c r="M184" s="256"/>
      <c r="N184" s="258"/>
      <c r="O184" s="258"/>
      <c r="P184" s="258"/>
      <c r="Q184" s="258"/>
      <c r="R184" s="258"/>
      <c r="S184" s="258"/>
      <c r="T184" s="258"/>
      <c r="U184" s="258"/>
    </row>
    <row r="185" spans="1:21" ht="29.25" customHeight="1">
      <c r="A185" s="258"/>
      <c r="B185" s="256"/>
      <c r="C185" s="270"/>
      <c r="D185" s="256"/>
      <c r="E185" s="256"/>
      <c r="F185" s="256"/>
      <c r="G185" s="256"/>
      <c r="H185" s="281"/>
      <c r="I185" s="256"/>
      <c r="J185" s="256"/>
      <c r="K185" s="258"/>
      <c r="L185" s="256"/>
      <c r="M185" s="256"/>
      <c r="N185" s="258"/>
      <c r="O185" s="258"/>
      <c r="P185" s="258"/>
      <c r="Q185" s="258"/>
      <c r="R185" s="258"/>
      <c r="S185" s="258"/>
      <c r="T185" s="258"/>
      <c r="U185" s="258"/>
    </row>
    <row r="186" spans="1:21" ht="29.25" customHeight="1">
      <c r="A186" s="258"/>
      <c r="B186" s="256"/>
      <c r="C186" s="270"/>
      <c r="D186" s="256"/>
      <c r="E186" s="256"/>
      <c r="F186" s="256"/>
      <c r="G186" s="256"/>
      <c r="H186" s="281"/>
      <c r="I186" s="256"/>
      <c r="J186" s="256"/>
      <c r="K186" s="258"/>
      <c r="L186" s="256"/>
      <c r="M186" s="256"/>
      <c r="N186" s="258"/>
      <c r="O186" s="258"/>
      <c r="P186" s="258"/>
      <c r="Q186" s="258"/>
      <c r="R186" s="258"/>
      <c r="S186" s="258"/>
      <c r="T186" s="258"/>
      <c r="U186" s="258"/>
    </row>
    <row r="187" spans="1:21" ht="29.25" customHeight="1">
      <c r="A187" s="258"/>
      <c r="B187" s="256"/>
      <c r="C187" s="270"/>
      <c r="D187" s="256"/>
      <c r="E187" s="256"/>
      <c r="F187" s="256"/>
      <c r="G187" s="256"/>
      <c r="H187" s="281"/>
      <c r="I187" s="256"/>
      <c r="J187" s="256"/>
      <c r="K187" s="258"/>
      <c r="L187" s="256"/>
      <c r="M187" s="256"/>
      <c r="N187" s="258"/>
      <c r="O187" s="258"/>
      <c r="P187" s="258"/>
      <c r="Q187" s="258"/>
      <c r="R187" s="258"/>
      <c r="S187" s="258"/>
      <c r="T187" s="258"/>
      <c r="U187" s="258"/>
    </row>
    <row r="188" spans="1:21" ht="29.25" customHeight="1">
      <c r="A188" s="258"/>
      <c r="B188" s="256"/>
      <c r="C188" s="270"/>
      <c r="D188" s="256"/>
      <c r="E188" s="256"/>
      <c r="F188" s="256"/>
      <c r="G188" s="256"/>
      <c r="H188" s="281"/>
      <c r="I188" s="256"/>
      <c r="J188" s="256"/>
      <c r="K188" s="258"/>
      <c r="L188" s="256"/>
      <c r="M188" s="256"/>
      <c r="N188" s="258"/>
      <c r="O188" s="258"/>
      <c r="P188" s="258"/>
      <c r="Q188" s="258"/>
      <c r="R188" s="258"/>
      <c r="S188" s="258"/>
      <c r="T188" s="258"/>
      <c r="U188" s="258"/>
    </row>
    <row r="189" spans="1:21" ht="29.25" customHeight="1">
      <c r="A189" s="258"/>
      <c r="B189" s="256"/>
      <c r="C189" s="270"/>
      <c r="D189" s="256"/>
      <c r="E189" s="256"/>
      <c r="F189" s="256"/>
      <c r="G189" s="256"/>
      <c r="H189" s="281"/>
      <c r="I189" s="256"/>
      <c r="J189" s="256"/>
      <c r="K189" s="258"/>
      <c r="L189" s="256"/>
      <c r="M189" s="256"/>
      <c r="N189" s="258"/>
      <c r="O189" s="258"/>
      <c r="P189" s="258"/>
      <c r="Q189" s="258"/>
      <c r="R189" s="258"/>
      <c r="S189" s="258"/>
      <c r="T189" s="258"/>
      <c r="U189" s="258"/>
    </row>
    <row r="190" spans="1:21" ht="29.25" customHeight="1">
      <c r="A190" s="258"/>
      <c r="B190" s="256"/>
      <c r="C190" s="270"/>
      <c r="D190" s="256"/>
      <c r="E190" s="256"/>
      <c r="F190" s="256"/>
      <c r="G190" s="256"/>
      <c r="H190" s="281"/>
      <c r="I190" s="256"/>
      <c r="J190" s="256"/>
      <c r="K190" s="258"/>
      <c r="L190" s="256"/>
      <c r="M190" s="256"/>
      <c r="N190" s="258"/>
      <c r="O190" s="258"/>
      <c r="P190" s="258"/>
      <c r="Q190" s="258"/>
      <c r="R190" s="258"/>
      <c r="S190" s="258"/>
      <c r="T190" s="258"/>
      <c r="U190" s="258"/>
    </row>
    <row r="191" spans="1:21" ht="29.25" customHeight="1">
      <c r="A191" s="258"/>
      <c r="B191" s="256"/>
      <c r="C191" s="270"/>
      <c r="D191" s="256"/>
      <c r="E191" s="256"/>
      <c r="F191" s="256"/>
      <c r="G191" s="256"/>
      <c r="H191" s="281"/>
      <c r="I191" s="256"/>
      <c r="J191" s="256"/>
      <c r="K191" s="258"/>
      <c r="L191" s="256"/>
      <c r="M191" s="256"/>
      <c r="N191" s="258"/>
      <c r="O191" s="258"/>
      <c r="P191" s="258"/>
      <c r="Q191" s="258"/>
      <c r="R191" s="258"/>
      <c r="S191" s="258"/>
      <c r="T191" s="258"/>
      <c r="U191" s="258"/>
    </row>
    <row r="192" spans="1:21" ht="29.25" customHeight="1">
      <c r="A192" s="258"/>
      <c r="B192" s="256"/>
      <c r="C192" s="270"/>
      <c r="D192" s="256"/>
      <c r="E192" s="256"/>
      <c r="F192" s="256"/>
      <c r="G192" s="256"/>
      <c r="H192" s="281"/>
      <c r="I192" s="256"/>
      <c r="J192" s="256"/>
      <c r="K192" s="258"/>
      <c r="L192" s="256"/>
      <c r="M192" s="256"/>
      <c r="N192" s="258"/>
      <c r="O192" s="258"/>
      <c r="P192" s="258"/>
      <c r="Q192" s="258"/>
      <c r="R192" s="258"/>
      <c r="S192" s="258"/>
      <c r="T192" s="258"/>
      <c r="U192" s="258"/>
    </row>
    <row r="193" spans="1:21" ht="29.25" customHeight="1">
      <c r="A193" s="258"/>
      <c r="B193" s="256"/>
      <c r="C193" s="270"/>
      <c r="D193" s="256"/>
      <c r="E193" s="256"/>
      <c r="F193" s="256"/>
      <c r="G193" s="256"/>
      <c r="H193" s="281"/>
      <c r="I193" s="256"/>
      <c r="J193" s="256"/>
      <c r="K193" s="258"/>
      <c r="L193" s="256"/>
      <c r="M193" s="256"/>
      <c r="N193" s="258"/>
      <c r="O193" s="258"/>
      <c r="P193" s="258"/>
      <c r="Q193" s="258"/>
      <c r="R193" s="258"/>
      <c r="S193" s="258"/>
      <c r="T193" s="258"/>
      <c r="U193" s="258"/>
    </row>
    <row r="194" spans="1:21" ht="29.25" customHeight="1">
      <c r="A194" s="258"/>
      <c r="B194" s="256"/>
      <c r="C194" s="270"/>
      <c r="D194" s="256"/>
      <c r="E194" s="256"/>
      <c r="F194" s="256"/>
      <c r="G194" s="256"/>
      <c r="H194" s="281"/>
      <c r="I194" s="256"/>
      <c r="J194" s="256"/>
      <c r="K194" s="258"/>
      <c r="L194" s="256"/>
      <c r="M194" s="256"/>
      <c r="N194" s="258"/>
      <c r="O194" s="258"/>
      <c r="P194" s="258"/>
      <c r="Q194" s="258"/>
      <c r="R194" s="258"/>
      <c r="S194" s="258"/>
      <c r="T194" s="258"/>
      <c r="U194" s="258"/>
    </row>
    <row r="195" spans="1:21" ht="29.25" customHeight="1">
      <c r="A195" s="258"/>
      <c r="B195" s="256"/>
      <c r="C195" s="270"/>
      <c r="D195" s="256"/>
      <c r="E195" s="256"/>
      <c r="F195" s="256"/>
      <c r="G195" s="256"/>
      <c r="H195" s="281"/>
      <c r="I195" s="256"/>
      <c r="J195" s="256"/>
      <c r="K195" s="258"/>
      <c r="L195" s="256"/>
      <c r="M195" s="256"/>
      <c r="N195" s="258"/>
      <c r="O195" s="258"/>
      <c r="P195" s="258"/>
      <c r="Q195" s="258"/>
      <c r="R195" s="258"/>
      <c r="S195" s="258"/>
      <c r="T195" s="258"/>
      <c r="U195" s="258"/>
    </row>
    <row r="196" spans="1:21" ht="29.25" customHeight="1">
      <c r="A196" s="258"/>
      <c r="B196" s="256"/>
      <c r="C196" s="270"/>
      <c r="D196" s="256"/>
      <c r="E196" s="256"/>
      <c r="F196" s="256"/>
      <c r="G196" s="256"/>
      <c r="H196" s="281"/>
      <c r="I196" s="256"/>
      <c r="J196" s="256"/>
      <c r="K196" s="258"/>
      <c r="L196" s="256"/>
      <c r="M196" s="256"/>
      <c r="N196" s="258"/>
      <c r="O196" s="258"/>
      <c r="P196" s="258"/>
      <c r="Q196" s="258"/>
      <c r="R196" s="258"/>
      <c r="S196" s="258"/>
      <c r="T196" s="258"/>
      <c r="U196" s="258"/>
    </row>
    <row r="197" spans="1:21" ht="29.25" customHeight="1">
      <c r="A197" s="258"/>
      <c r="B197" s="256"/>
      <c r="C197" s="270"/>
      <c r="D197" s="256"/>
      <c r="E197" s="256"/>
      <c r="F197" s="256"/>
      <c r="G197" s="256"/>
      <c r="H197" s="281"/>
      <c r="I197" s="256"/>
      <c r="J197" s="256"/>
      <c r="K197" s="258"/>
      <c r="L197" s="256"/>
      <c r="M197" s="256"/>
      <c r="N197" s="258"/>
      <c r="O197" s="258"/>
      <c r="P197" s="258"/>
      <c r="Q197" s="258"/>
      <c r="R197" s="258"/>
      <c r="S197" s="258"/>
      <c r="T197" s="258"/>
      <c r="U197" s="258"/>
    </row>
    <row r="198" spans="1:21" ht="29.25" customHeight="1">
      <c r="A198" s="258"/>
      <c r="B198" s="256"/>
      <c r="C198" s="270"/>
      <c r="D198" s="256"/>
      <c r="E198" s="256"/>
      <c r="F198" s="256"/>
      <c r="G198" s="256"/>
      <c r="H198" s="281"/>
      <c r="I198" s="256"/>
      <c r="J198" s="256"/>
      <c r="K198" s="258"/>
      <c r="L198" s="256"/>
      <c r="M198" s="256"/>
      <c r="N198" s="258"/>
      <c r="O198" s="258"/>
      <c r="P198" s="258"/>
      <c r="Q198" s="258"/>
      <c r="R198" s="258"/>
      <c r="S198" s="258"/>
      <c r="T198" s="258"/>
      <c r="U198" s="258"/>
    </row>
    <row r="199" spans="1:21" ht="29.25" customHeight="1">
      <c r="A199" s="258"/>
      <c r="B199" s="256"/>
      <c r="C199" s="270"/>
      <c r="D199" s="256"/>
      <c r="E199" s="256"/>
      <c r="F199" s="256"/>
      <c r="G199" s="256"/>
      <c r="H199" s="281"/>
      <c r="I199" s="256"/>
      <c r="J199" s="256"/>
      <c r="K199" s="258"/>
      <c r="L199" s="256"/>
      <c r="M199" s="256"/>
      <c r="N199" s="258"/>
      <c r="O199" s="258"/>
      <c r="P199" s="258"/>
      <c r="Q199" s="258"/>
      <c r="R199" s="258"/>
      <c r="S199" s="258"/>
      <c r="T199" s="258"/>
      <c r="U199" s="258"/>
    </row>
    <row r="200" spans="1:21" ht="29.25" customHeight="1">
      <c r="A200" s="258"/>
      <c r="B200" s="256"/>
      <c r="C200" s="270"/>
      <c r="D200" s="256"/>
      <c r="E200" s="256"/>
      <c r="F200" s="256"/>
      <c r="G200" s="256"/>
      <c r="H200" s="281"/>
      <c r="I200" s="256"/>
      <c r="J200" s="256"/>
      <c r="K200" s="258"/>
      <c r="L200" s="256"/>
      <c r="M200" s="256"/>
      <c r="N200" s="258"/>
      <c r="O200" s="258"/>
      <c r="P200" s="258"/>
      <c r="Q200" s="258"/>
      <c r="R200" s="258"/>
      <c r="S200" s="258"/>
      <c r="T200" s="258"/>
      <c r="U200" s="258"/>
    </row>
    <row r="201" spans="1:21" ht="29.25" customHeight="1">
      <c r="A201" s="258"/>
      <c r="B201" s="256"/>
      <c r="C201" s="270"/>
      <c r="D201" s="256"/>
      <c r="E201" s="256"/>
      <c r="F201" s="256"/>
      <c r="G201" s="256"/>
      <c r="H201" s="281"/>
      <c r="I201" s="256"/>
      <c r="J201" s="256"/>
      <c r="K201" s="258"/>
      <c r="L201" s="256"/>
      <c r="M201" s="256"/>
      <c r="N201" s="258"/>
      <c r="O201" s="258"/>
      <c r="P201" s="258"/>
      <c r="Q201" s="258"/>
      <c r="R201" s="258"/>
      <c r="S201" s="258"/>
      <c r="T201" s="258"/>
      <c r="U201" s="258"/>
    </row>
    <row r="202" spans="1:21" ht="29.25" customHeight="1">
      <c r="A202" s="258"/>
      <c r="B202" s="256"/>
      <c r="C202" s="270"/>
      <c r="D202" s="256"/>
      <c r="E202" s="256"/>
      <c r="F202" s="256"/>
      <c r="G202" s="256"/>
      <c r="H202" s="281"/>
      <c r="I202" s="256"/>
      <c r="J202" s="256"/>
      <c r="K202" s="258"/>
      <c r="L202" s="256"/>
      <c r="M202" s="256"/>
      <c r="N202" s="258"/>
      <c r="O202" s="258"/>
      <c r="P202" s="258"/>
      <c r="Q202" s="258"/>
      <c r="R202" s="258"/>
      <c r="S202" s="258"/>
      <c r="T202" s="258"/>
      <c r="U202" s="258"/>
    </row>
    <row r="203" spans="1:21" ht="29.25" customHeight="1">
      <c r="A203" s="258"/>
      <c r="B203" s="256"/>
      <c r="C203" s="270"/>
      <c r="D203" s="256"/>
      <c r="E203" s="256"/>
      <c r="F203" s="256"/>
      <c r="G203" s="256"/>
      <c r="H203" s="281"/>
      <c r="I203" s="256"/>
      <c r="J203" s="256"/>
      <c r="K203" s="258"/>
      <c r="L203" s="256"/>
      <c r="M203" s="256"/>
      <c r="N203" s="258"/>
      <c r="O203" s="258"/>
      <c r="P203" s="258"/>
      <c r="Q203" s="258"/>
      <c r="R203" s="258"/>
      <c r="S203" s="258"/>
      <c r="T203" s="258"/>
      <c r="U203" s="258"/>
    </row>
    <row r="204" spans="1:21" ht="29.25" customHeight="1">
      <c r="A204" s="258"/>
      <c r="B204" s="256"/>
      <c r="C204" s="270"/>
      <c r="D204" s="256"/>
      <c r="E204" s="256"/>
      <c r="F204" s="256"/>
      <c r="G204" s="256"/>
      <c r="H204" s="281"/>
      <c r="I204" s="256"/>
      <c r="J204" s="256"/>
      <c r="K204" s="258"/>
      <c r="L204" s="256"/>
      <c r="M204" s="256"/>
      <c r="N204" s="258"/>
      <c r="O204" s="258"/>
      <c r="P204" s="258"/>
      <c r="Q204" s="258"/>
      <c r="R204" s="258"/>
      <c r="S204" s="258"/>
      <c r="T204" s="258"/>
      <c r="U204" s="258"/>
    </row>
    <row r="205" spans="1:21" ht="29.25" customHeight="1">
      <c r="A205" s="258"/>
      <c r="B205" s="256"/>
      <c r="C205" s="270"/>
      <c r="D205" s="256"/>
      <c r="E205" s="256"/>
      <c r="F205" s="256"/>
      <c r="G205" s="256"/>
      <c r="H205" s="281"/>
      <c r="I205" s="256"/>
      <c r="J205" s="256"/>
      <c r="K205" s="258"/>
      <c r="L205" s="256"/>
      <c r="M205" s="256"/>
      <c r="N205" s="258"/>
      <c r="O205" s="258"/>
      <c r="P205" s="258"/>
      <c r="Q205" s="258"/>
      <c r="R205" s="258"/>
      <c r="S205" s="258"/>
      <c r="T205" s="258"/>
      <c r="U205" s="258"/>
    </row>
    <row r="206" spans="1:21" ht="29.25" customHeight="1">
      <c r="A206" s="258"/>
      <c r="B206" s="256"/>
      <c r="C206" s="270"/>
      <c r="D206" s="256"/>
      <c r="E206" s="256"/>
      <c r="F206" s="256"/>
      <c r="G206" s="256"/>
      <c r="H206" s="281"/>
      <c r="I206" s="256"/>
      <c r="J206" s="256"/>
      <c r="K206" s="258"/>
      <c r="L206" s="256"/>
      <c r="M206" s="256"/>
      <c r="N206" s="258"/>
      <c r="O206" s="258"/>
      <c r="P206" s="258"/>
      <c r="Q206" s="258"/>
      <c r="R206" s="258"/>
      <c r="S206" s="258"/>
      <c r="T206" s="258"/>
      <c r="U206" s="258"/>
    </row>
    <row r="207" spans="1:21" ht="29.25" customHeight="1">
      <c r="A207" s="258"/>
      <c r="B207" s="256"/>
      <c r="C207" s="270"/>
      <c r="D207" s="256"/>
      <c r="E207" s="256"/>
      <c r="F207" s="256"/>
      <c r="G207" s="256"/>
      <c r="H207" s="281"/>
      <c r="I207" s="256"/>
      <c r="J207" s="256"/>
      <c r="K207" s="258"/>
      <c r="L207" s="256"/>
      <c r="M207" s="256"/>
      <c r="N207" s="258"/>
      <c r="O207" s="258"/>
      <c r="P207" s="258"/>
      <c r="Q207" s="258"/>
      <c r="R207" s="258"/>
      <c r="S207" s="258"/>
      <c r="T207" s="258"/>
      <c r="U207" s="258"/>
    </row>
    <row r="208" spans="1:21" ht="29.25" customHeight="1">
      <c r="A208" s="258"/>
      <c r="B208" s="256"/>
      <c r="C208" s="270"/>
      <c r="D208" s="256"/>
      <c r="E208" s="256"/>
      <c r="F208" s="256"/>
      <c r="G208" s="256"/>
      <c r="H208" s="281"/>
      <c r="I208" s="256"/>
      <c r="J208" s="256"/>
      <c r="K208" s="258"/>
      <c r="L208" s="256"/>
      <c r="M208" s="256"/>
      <c r="N208" s="258"/>
      <c r="O208" s="258"/>
      <c r="P208" s="258"/>
      <c r="Q208" s="258"/>
      <c r="R208" s="258"/>
      <c r="S208" s="258"/>
      <c r="T208" s="258"/>
      <c r="U208" s="258"/>
    </row>
    <row r="209" spans="1:21" ht="29.25" customHeight="1">
      <c r="A209" s="258"/>
      <c r="B209" s="256"/>
      <c r="C209" s="270"/>
      <c r="D209" s="256"/>
      <c r="E209" s="256"/>
      <c r="F209" s="256"/>
      <c r="G209" s="256"/>
      <c r="H209" s="281"/>
      <c r="I209" s="256"/>
      <c r="J209" s="256"/>
      <c r="K209" s="258"/>
      <c r="L209" s="256"/>
      <c r="M209" s="256"/>
      <c r="N209" s="258"/>
      <c r="O209" s="258"/>
      <c r="P209" s="258"/>
      <c r="Q209" s="258"/>
      <c r="R209" s="258"/>
      <c r="S209" s="258"/>
      <c r="T209" s="258"/>
      <c r="U209" s="258"/>
    </row>
    <row r="210" spans="1:21" ht="29.25" customHeight="1">
      <c r="A210" s="258"/>
      <c r="B210" s="256"/>
      <c r="C210" s="270"/>
      <c r="D210" s="256"/>
      <c r="E210" s="256"/>
      <c r="F210" s="256"/>
      <c r="G210" s="256"/>
      <c r="H210" s="281"/>
      <c r="I210" s="256"/>
      <c r="J210" s="256"/>
      <c r="K210" s="258"/>
      <c r="L210" s="256"/>
      <c r="M210" s="256"/>
      <c r="N210" s="258"/>
      <c r="O210" s="258"/>
      <c r="P210" s="258"/>
      <c r="Q210" s="258"/>
      <c r="R210" s="258"/>
      <c r="S210" s="258"/>
      <c r="T210" s="258"/>
      <c r="U210" s="258"/>
    </row>
    <row r="211" spans="1:21" ht="29.25" customHeight="1">
      <c r="A211" s="258"/>
      <c r="B211" s="256"/>
      <c r="C211" s="270"/>
      <c r="D211" s="256"/>
      <c r="E211" s="256"/>
      <c r="F211" s="256"/>
      <c r="G211" s="256"/>
      <c r="H211" s="281"/>
      <c r="I211" s="256"/>
      <c r="J211" s="256"/>
      <c r="K211" s="258"/>
      <c r="L211" s="256"/>
      <c r="M211" s="256"/>
      <c r="N211" s="258"/>
      <c r="O211" s="258"/>
      <c r="P211" s="258"/>
      <c r="Q211" s="258"/>
      <c r="R211" s="258"/>
      <c r="S211" s="258"/>
      <c r="T211" s="258"/>
      <c r="U211" s="258"/>
    </row>
    <row r="212" spans="1:21" ht="29.25" customHeight="1">
      <c r="A212" s="258"/>
      <c r="B212" s="256"/>
      <c r="C212" s="270"/>
      <c r="D212" s="256"/>
      <c r="E212" s="256"/>
      <c r="F212" s="256"/>
      <c r="G212" s="256"/>
      <c r="H212" s="281"/>
      <c r="I212" s="256"/>
      <c r="J212" s="256"/>
      <c r="K212" s="258"/>
      <c r="L212" s="256"/>
      <c r="M212" s="256"/>
      <c r="N212" s="258"/>
      <c r="O212" s="258"/>
      <c r="P212" s="258"/>
      <c r="Q212" s="258"/>
      <c r="R212" s="258"/>
      <c r="S212" s="258"/>
      <c r="T212" s="258"/>
      <c r="U212" s="258"/>
    </row>
    <row r="213" spans="1:21" ht="29.25" customHeight="1">
      <c r="A213" s="258"/>
      <c r="B213" s="256"/>
      <c r="C213" s="270"/>
      <c r="D213" s="256"/>
      <c r="E213" s="256"/>
      <c r="F213" s="256"/>
      <c r="G213" s="256"/>
      <c r="H213" s="281"/>
      <c r="I213" s="256"/>
      <c r="J213" s="256"/>
      <c r="K213" s="258"/>
      <c r="L213" s="256"/>
      <c r="M213" s="256"/>
      <c r="N213" s="258"/>
      <c r="O213" s="258"/>
      <c r="P213" s="258"/>
      <c r="Q213" s="258"/>
      <c r="R213" s="258"/>
      <c r="S213" s="258"/>
      <c r="T213" s="258"/>
      <c r="U213" s="258"/>
    </row>
    <row r="214" spans="1:21" ht="29.25" customHeight="1">
      <c r="A214" s="258"/>
      <c r="B214" s="256"/>
      <c r="C214" s="270"/>
      <c r="D214" s="256"/>
      <c r="E214" s="256"/>
      <c r="F214" s="256"/>
      <c r="G214" s="256"/>
      <c r="H214" s="281"/>
      <c r="I214" s="256"/>
      <c r="J214" s="256"/>
      <c r="K214" s="258"/>
      <c r="L214" s="256"/>
      <c r="M214" s="256"/>
      <c r="N214" s="258"/>
      <c r="O214" s="258"/>
      <c r="P214" s="258"/>
      <c r="Q214" s="258"/>
      <c r="R214" s="258"/>
      <c r="S214" s="258"/>
      <c r="T214" s="258"/>
      <c r="U214" s="258"/>
    </row>
    <row r="215" spans="1:21" ht="29.25" customHeight="1">
      <c r="A215" s="258"/>
      <c r="B215" s="256"/>
      <c r="C215" s="270"/>
      <c r="D215" s="256"/>
      <c r="E215" s="256"/>
      <c r="F215" s="256"/>
      <c r="G215" s="256"/>
      <c r="H215" s="281"/>
      <c r="I215" s="256"/>
      <c r="J215" s="256"/>
      <c r="K215" s="258"/>
      <c r="L215" s="256"/>
      <c r="M215" s="256"/>
      <c r="N215" s="258"/>
      <c r="O215" s="258"/>
      <c r="P215" s="258"/>
      <c r="Q215" s="258"/>
      <c r="R215" s="258"/>
      <c r="S215" s="258"/>
      <c r="T215" s="258"/>
      <c r="U215" s="258"/>
    </row>
    <row r="216" spans="1:21" ht="29.25" customHeight="1">
      <c r="A216" s="258"/>
      <c r="B216" s="256"/>
      <c r="C216" s="270"/>
      <c r="D216" s="256"/>
      <c r="E216" s="256"/>
      <c r="F216" s="256"/>
      <c r="G216" s="256"/>
      <c r="H216" s="281"/>
      <c r="I216" s="256"/>
      <c r="J216" s="256"/>
      <c r="K216" s="258"/>
      <c r="L216" s="256"/>
      <c r="M216" s="256"/>
      <c r="N216" s="258"/>
      <c r="O216" s="258"/>
      <c r="P216" s="258"/>
      <c r="Q216" s="258"/>
      <c r="R216" s="258"/>
      <c r="S216" s="258"/>
      <c r="T216" s="258"/>
      <c r="U216" s="258"/>
    </row>
    <row r="217" spans="1:21" ht="29.25" customHeight="1">
      <c r="A217" s="258"/>
      <c r="B217" s="256"/>
      <c r="C217" s="270"/>
      <c r="D217" s="256"/>
      <c r="E217" s="256"/>
      <c r="F217" s="256"/>
      <c r="G217" s="256"/>
      <c r="H217" s="281"/>
      <c r="I217" s="256"/>
      <c r="J217" s="256"/>
      <c r="K217" s="258"/>
      <c r="L217" s="256"/>
      <c r="M217" s="256"/>
      <c r="N217" s="258"/>
      <c r="O217" s="258"/>
      <c r="P217" s="258"/>
      <c r="Q217" s="258"/>
      <c r="R217" s="258"/>
      <c r="S217" s="258"/>
      <c r="T217" s="258"/>
      <c r="U217" s="258"/>
    </row>
    <row r="218" spans="1:21" ht="29.25" customHeight="1">
      <c r="A218" s="258"/>
      <c r="B218" s="256"/>
      <c r="C218" s="270"/>
      <c r="D218" s="256"/>
      <c r="E218" s="256"/>
      <c r="F218" s="256"/>
      <c r="G218" s="256"/>
      <c r="H218" s="281"/>
      <c r="I218" s="256"/>
      <c r="J218" s="256"/>
      <c r="K218" s="258"/>
      <c r="L218" s="256"/>
      <c r="M218" s="256"/>
      <c r="N218" s="258"/>
      <c r="O218" s="258"/>
      <c r="P218" s="258"/>
      <c r="Q218" s="258"/>
      <c r="R218" s="258"/>
      <c r="S218" s="258"/>
      <c r="T218" s="258"/>
      <c r="U218" s="258"/>
    </row>
    <row r="219" spans="1:21" ht="29.25" customHeight="1">
      <c r="A219" s="258"/>
      <c r="B219" s="256"/>
      <c r="C219" s="270"/>
      <c r="D219" s="256"/>
      <c r="E219" s="256"/>
      <c r="F219" s="256"/>
      <c r="G219" s="256"/>
      <c r="H219" s="281"/>
      <c r="I219" s="256"/>
      <c r="J219" s="256"/>
      <c r="K219" s="258"/>
      <c r="L219" s="256"/>
      <c r="M219" s="256"/>
      <c r="N219" s="258"/>
      <c r="O219" s="258"/>
      <c r="P219" s="258"/>
      <c r="Q219" s="258"/>
      <c r="R219" s="258"/>
      <c r="S219" s="258"/>
      <c r="T219" s="258"/>
      <c r="U219" s="258"/>
    </row>
    <row r="220" spans="1:21" ht="29.25" customHeight="1">
      <c r="A220" s="258"/>
      <c r="B220" s="256"/>
      <c r="C220" s="270"/>
      <c r="D220" s="256"/>
      <c r="E220" s="256"/>
      <c r="F220" s="256"/>
      <c r="G220" s="256"/>
      <c r="H220" s="281"/>
      <c r="I220" s="256"/>
      <c r="J220" s="256"/>
      <c r="K220" s="258"/>
      <c r="L220" s="256"/>
      <c r="M220" s="256"/>
      <c r="N220" s="258"/>
      <c r="O220" s="258"/>
      <c r="P220" s="258"/>
      <c r="Q220" s="258"/>
      <c r="R220" s="258"/>
      <c r="S220" s="258"/>
      <c r="T220" s="258"/>
      <c r="U220" s="258"/>
    </row>
    <row r="221" spans="1:21" ht="29.25" customHeight="1">
      <c r="A221" s="258"/>
      <c r="B221" s="256"/>
      <c r="C221" s="270"/>
      <c r="D221" s="256"/>
      <c r="E221" s="256"/>
      <c r="F221" s="256"/>
      <c r="G221" s="256"/>
      <c r="H221" s="281"/>
      <c r="I221" s="256"/>
      <c r="J221" s="256"/>
      <c r="K221" s="258"/>
      <c r="L221" s="256"/>
      <c r="M221" s="256"/>
      <c r="N221" s="258"/>
      <c r="O221" s="258"/>
      <c r="P221" s="258"/>
      <c r="Q221" s="258"/>
      <c r="R221" s="258"/>
      <c r="S221" s="258"/>
      <c r="T221" s="258"/>
      <c r="U221" s="258"/>
    </row>
    <row r="222" spans="1:21" ht="29.25" customHeight="1">
      <c r="A222" s="258"/>
      <c r="B222" s="256"/>
      <c r="C222" s="270"/>
      <c r="D222" s="256"/>
      <c r="E222" s="256"/>
      <c r="F222" s="256"/>
      <c r="G222" s="256"/>
      <c r="H222" s="281"/>
      <c r="I222" s="256"/>
      <c r="J222" s="256"/>
      <c r="K222" s="258"/>
      <c r="L222" s="256"/>
      <c r="M222" s="256"/>
      <c r="N222" s="258"/>
      <c r="O222" s="258"/>
      <c r="P222" s="258"/>
      <c r="Q222" s="258"/>
      <c r="R222" s="258"/>
      <c r="S222" s="258"/>
      <c r="T222" s="258"/>
      <c r="U222" s="258"/>
    </row>
    <row r="223" spans="1:21" ht="29.25" customHeight="1">
      <c r="A223" s="258"/>
      <c r="B223" s="256"/>
      <c r="C223" s="270"/>
      <c r="D223" s="256"/>
      <c r="E223" s="256"/>
      <c r="F223" s="256"/>
      <c r="G223" s="256"/>
      <c r="H223" s="281"/>
      <c r="I223" s="256"/>
      <c r="J223" s="256"/>
      <c r="K223" s="258"/>
      <c r="L223" s="256"/>
      <c r="M223" s="256"/>
      <c r="N223" s="258"/>
      <c r="O223" s="258"/>
      <c r="P223" s="258"/>
      <c r="Q223" s="258"/>
      <c r="R223" s="258"/>
      <c r="S223" s="258"/>
      <c r="T223" s="258"/>
      <c r="U223" s="258"/>
    </row>
    <row r="224" spans="1:21" ht="29.25" customHeight="1">
      <c r="A224" s="258"/>
      <c r="B224" s="256"/>
      <c r="C224" s="270"/>
      <c r="D224" s="256"/>
      <c r="E224" s="256"/>
      <c r="F224" s="256"/>
      <c r="G224" s="256"/>
      <c r="H224" s="281"/>
      <c r="I224" s="256"/>
      <c r="J224" s="256"/>
      <c r="K224" s="258"/>
      <c r="L224" s="256"/>
      <c r="M224" s="256"/>
      <c r="N224" s="258"/>
      <c r="O224" s="258"/>
      <c r="P224" s="258"/>
      <c r="Q224" s="258"/>
      <c r="R224" s="258"/>
      <c r="S224" s="258"/>
      <c r="T224" s="258"/>
      <c r="U224" s="258"/>
    </row>
    <row r="225" spans="1:21" ht="29.25" customHeight="1">
      <c r="A225" s="258"/>
      <c r="B225" s="256"/>
      <c r="C225" s="270"/>
      <c r="D225" s="256"/>
      <c r="E225" s="256"/>
      <c r="F225" s="256"/>
      <c r="G225" s="256"/>
      <c r="H225" s="281"/>
      <c r="I225" s="256"/>
      <c r="J225" s="256"/>
      <c r="K225" s="258"/>
      <c r="L225" s="256"/>
      <c r="M225" s="256"/>
      <c r="N225" s="258"/>
      <c r="O225" s="258"/>
      <c r="P225" s="258"/>
      <c r="Q225" s="258"/>
      <c r="R225" s="258"/>
      <c r="S225" s="258"/>
      <c r="T225" s="258"/>
      <c r="U225" s="258"/>
    </row>
    <row r="226" spans="1:21" ht="29.25" customHeight="1">
      <c r="A226" s="258"/>
      <c r="B226" s="256"/>
      <c r="C226" s="270"/>
      <c r="D226" s="256"/>
      <c r="E226" s="256"/>
      <c r="F226" s="256"/>
      <c r="G226" s="256"/>
      <c r="H226" s="281"/>
      <c r="I226" s="256"/>
      <c r="J226" s="256"/>
      <c r="K226" s="258"/>
      <c r="L226" s="256"/>
      <c r="M226" s="256"/>
      <c r="N226" s="258"/>
      <c r="O226" s="258"/>
      <c r="P226" s="258"/>
      <c r="Q226" s="258"/>
      <c r="R226" s="258"/>
      <c r="S226" s="258"/>
      <c r="T226" s="258"/>
      <c r="U226" s="258"/>
    </row>
    <row r="227" spans="1:21" ht="29.25" customHeight="1">
      <c r="A227" s="258"/>
      <c r="B227" s="256"/>
      <c r="C227" s="270"/>
      <c r="D227" s="256"/>
      <c r="E227" s="256"/>
      <c r="F227" s="256"/>
      <c r="G227" s="256"/>
      <c r="H227" s="281"/>
      <c r="I227" s="256"/>
      <c r="J227" s="256"/>
      <c r="K227" s="258"/>
      <c r="L227" s="256"/>
      <c r="M227" s="256"/>
      <c r="N227" s="258"/>
      <c r="O227" s="258"/>
      <c r="P227" s="258"/>
      <c r="Q227" s="258"/>
      <c r="R227" s="258"/>
      <c r="S227" s="258"/>
      <c r="T227" s="258"/>
      <c r="U227" s="258"/>
    </row>
    <row r="228" spans="1:21" ht="29.25" customHeight="1">
      <c r="A228" s="258"/>
      <c r="B228" s="256"/>
      <c r="C228" s="270"/>
      <c r="D228" s="256"/>
      <c r="E228" s="256"/>
      <c r="F228" s="256"/>
      <c r="G228" s="256"/>
      <c r="H228" s="281"/>
      <c r="I228" s="256"/>
      <c r="J228" s="256"/>
      <c r="K228" s="258"/>
      <c r="L228" s="256"/>
      <c r="M228" s="256"/>
      <c r="N228" s="258"/>
      <c r="O228" s="258"/>
      <c r="P228" s="258"/>
      <c r="Q228" s="258"/>
      <c r="R228" s="258"/>
      <c r="S228" s="258"/>
      <c r="T228" s="258"/>
      <c r="U228" s="258"/>
    </row>
    <row r="229" spans="1:21" ht="29.25" customHeight="1">
      <c r="A229" s="258"/>
      <c r="B229" s="256"/>
      <c r="C229" s="270"/>
      <c r="D229" s="256"/>
      <c r="E229" s="256"/>
      <c r="F229" s="256"/>
      <c r="G229" s="256"/>
      <c r="H229" s="281"/>
      <c r="I229" s="256"/>
      <c r="J229" s="256"/>
      <c r="K229" s="258"/>
      <c r="L229" s="256"/>
      <c r="M229" s="256"/>
      <c r="N229" s="258"/>
      <c r="O229" s="258"/>
      <c r="P229" s="258"/>
      <c r="Q229" s="258"/>
      <c r="R229" s="258"/>
      <c r="S229" s="258"/>
      <c r="T229" s="258"/>
      <c r="U229" s="258"/>
    </row>
    <row r="230" spans="1:21" ht="29.25" customHeight="1">
      <c r="A230" s="258"/>
      <c r="B230" s="256"/>
      <c r="C230" s="270"/>
      <c r="D230" s="256"/>
      <c r="E230" s="256"/>
      <c r="F230" s="256"/>
      <c r="G230" s="256"/>
      <c r="H230" s="281"/>
      <c r="I230" s="256"/>
      <c r="J230" s="256"/>
      <c r="K230" s="258"/>
      <c r="L230" s="256"/>
      <c r="M230" s="256"/>
      <c r="N230" s="258"/>
      <c r="O230" s="258"/>
      <c r="P230" s="258"/>
      <c r="Q230" s="258"/>
      <c r="R230" s="258"/>
      <c r="S230" s="258"/>
      <c r="T230" s="258"/>
      <c r="U230" s="258"/>
    </row>
    <row r="231" spans="1:21" ht="29.25" customHeight="1">
      <c r="A231" s="258"/>
      <c r="B231" s="256"/>
      <c r="C231" s="270"/>
      <c r="D231" s="256"/>
      <c r="E231" s="256"/>
      <c r="F231" s="256"/>
      <c r="G231" s="256"/>
      <c r="H231" s="281"/>
      <c r="I231" s="256"/>
      <c r="J231" s="256"/>
      <c r="K231" s="258"/>
      <c r="L231" s="256"/>
      <c r="M231" s="256"/>
      <c r="N231" s="258"/>
      <c r="O231" s="258"/>
      <c r="P231" s="258"/>
      <c r="Q231" s="258"/>
      <c r="R231" s="258"/>
      <c r="S231" s="258"/>
      <c r="T231" s="258"/>
      <c r="U231" s="258"/>
    </row>
    <row r="232" spans="1:21" ht="29.25" customHeight="1">
      <c r="A232" s="258"/>
      <c r="B232" s="256"/>
      <c r="C232" s="270"/>
      <c r="D232" s="256"/>
      <c r="E232" s="256"/>
      <c r="F232" s="256"/>
      <c r="G232" s="256"/>
      <c r="H232" s="281"/>
      <c r="I232" s="256"/>
      <c r="J232" s="256"/>
      <c r="K232" s="258"/>
      <c r="L232" s="256"/>
      <c r="M232" s="256"/>
      <c r="N232" s="258"/>
      <c r="O232" s="258"/>
      <c r="P232" s="258"/>
      <c r="Q232" s="258"/>
      <c r="R232" s="258"/>
      <c r="S232" s="258"/>
      <c r="T232" s="258"/>
      <c r="U232" s="258"/>
    </row>
    <row r="233" spans="1:21" ht="29.25" customHeight="1">
      <c r="G233" s="272"/>
      <c r="H233" s="281"/>
    </row>
    <row r="234" spans="1:21" ht="29.25" customHeight="1">
      <c r="G234" s="272"/>
      <c r="H234" s="281"/>
    </row>
    <row r="235" spans="1:21" ht="29.25" customHeight="1">
      <c r="G235" s="272"/>
      <c r="H235" s="281"/>
    </row>
    <row r="236" spans="1:21" ht="29.25" customHeight="1">
      <c r="G236" s="272"/>
      <c r="H236" s="281"/>
    </row>
    <row r="237" spans="1:21" ht="29.25" customHeight="1">
      <c r="G237" s="272"/>
      <c r="H237" s="281"/>
    </row>
    <row r="238" spans="1:21" ht="29.25" customHeight="1">
      <c r="G238" s="272"/>
      <c r="H238" s="281"/>
    </row>
    <row r="239" spans="1:21" ht="29.25" customHeight="1">
      <c r="G239" s="272"/>
      <c r="H239" s="281"/>
    </row>
    <row r="240" spans="1:21" ht="29.25" customHeight="1">
      <c r="G240" s="272"/>
      <c r="H240" s="281"/>
    </row>
    <row r="241" spans="7:8" ht="29.25" customHeight="1">
      <c r="G241" s="272"/>
      <c r="H241" s="281"/>
    </row>
    <row r="242" spans="7:8" ht="29.25" customHeight="1">
      <c r="G242" s="272"/>
      <c r="H242" s="281"/>
    </row>
    <row r="243" spans="7:8" ht="29.25" customHeight="1">
      <c r="G243" s="272"/>
      <c r="H243" s="281"/>
    </row>
    <row r="244" spans="7:8" ht="29.25" customHeight="1">
      <c r="G244" s="272"/>
      <c r="H244" s="281"/>
    </row>
    <row r="245" spans="7:8" ht="29.25" customHeight="1">
      <c r="G245" s="272"/>
      <c r="H245" s="281"/>
    </row>
    <row r="246" spans="7:8" ht="29.25" customHeight="1">
      <c r="G246" s="272"/>
      <c r="H246" s="281"/>
    </row>
    <row r="247" spans="7:8" ht="29.25" customHeight="1">
      <c r="G247" s="272"/>
      <c r="H247" s="281"/>
    </row>
    <row r="248" spans="7:8" ht="29.25" customHeight="1">
      <c r="G248" s="272"/>
      <c r="H248" s="281"/>
    </row>
    <row r="249" spans="7:8" ht="29.25" customHeight="1">
      <c r="G249" s="272"/>
      <c r="H249" s="281"/>
    </row>
    <row r="250" spans="7:8" ht="29.25" customHeight="1">
      <c r="G250" s="272"/>
      <c r="H250" s="281"/>
    </row>
    <row r="251" spans="7:8" ht="29.25" customHeight="1">
      <c r="G251" s="272"/>
      <c r="H251" s="281"/>
    </row>
    <row r="252" spans="7:8" ht="29.25" customHeight="1">
      <c r="G252" s="272"/>
      <c r="H252" s="281"/>
    </row>
    <row r="253" spans="7:8" ht="29.25" customHeight="1">
      <c r="G253" s="272"/>
      <c r="H253" s="281"/>
    </row>
    <row r="254" spans="7:8" ht="29.25" customHeight="1">
      <c r="G254" s="272"/>
      <c r="H254" s="281"/>
    </row>
    <row r="255" spans="7:8" ht="29.25" customHeight="1">
      <c r="G255" s="272"/>
      <c r="H255" s="281"/>
    </row>
    <row r="256" spans="7:8" ht="29.25" customHeight="1">
      <c r="G256" s="272"/>
      <c r="H256" s="281"/>
    </row>
    <row r="257" spans="7:8" ht="29.25" customHeight="1">
      <c r="G257" s="272"/>
      <c r="H257" s="281"/>
    </row>
    <row r="258" spans="7:8" ht="29.25" customHeight="1">
      <c r="G258" s="272"/>
      <c r="H258" s="281"/>
    </row>
    <row r="259" spans="7:8" ht="29.25" customHeight="1">
      <c r="G259" s="272"/>
      <c r="H259" s="281"/>
    </row>
    <row r="260" spans="7:8" ht="29.25" customHeight="1">
      <c r="G260" s="272"/>
      <c r="H260" s="281"/>
    </row>
    <row r="261" spans="7:8" ht="29.25" customHeight="1">
      <c r="G261" s="272"/>
      <c r="H261" s="281"/>
    </row>
    <row r="262" spans="7:8" ht="29.25" customHeight="1">
      <c r="G262" s="272"/>
      <c r="H262" s="281"/>
    </row>
    <row r="263" spans="7:8" ht="29.25" customHeight="1">
      <c r="G263" s="272"/>
      <c r="H263" s="281"/>
    </row>
    <row r="264" spans="7:8" ht="29.25" customHeight="1">
      <c r="G264" s="272"/>
      <c r="H264" s="281"/>
    </row>
    <row r="265" spans="7:8" ht="29.25" customHeight="1">
      <c r="G265" s="272"/>
      <c r="H265" s="281"/>
    </row>
    <row r="266" spans="7:8" ht="29.25" customHeight="1">
      <c r="G266" s="272"/>
      <c r="H266" s="281"/>
    </row>
    <row r="267" spans="7:8" ht="29.25" customHeight="1">
      <c r="G267" s="272"/>
      <c r="H267" s="281"/>
    </row>
    <row r="268" spans="7:8" ht="29.25" customHeight="1">
      <c r="G268" s="272"/>
      <c r="H268" s="281"/>
    </row>
    <row r="269" spans="7:8" ht="29.25" customHeight="1">
      <c r="G269" s="272"/>
      <c r="H269" s="281"/>
    </row>
    <row r="270" spans="7:8" ht="29.25" customHeight="1">
      <c r="G270" s="272"/>
      <c r="H270" s="281"/>
    </row>
    <row r="271" spans="7:8" ht="29.25" customHeight="1">
      <c r="G271" s="272"/>
      <c r="H271" s="281"/>
    </row>
    <row r="272" spans="7:8" ht="29.25" customHeight="1">
      <c r="G272" s="272"/>
      <c r="H272" s="281"/>
    </row>
    <row r="273" spans="7:8" ht="29.25" customHeight="1">
      <c r="G273" s="272"/>
      <c r="H273" s="281"/>
    </row>
    <row r="274" spans="7:8" ht="29.25" customHeight="1">
      <c r="G274" s="272"/>
      <c r="H274" s="281"/>
    </row>
    <row r="275" spans="7:8" ht="29.25" customHeight="1">
      <c r="G275" s="272"/>
      <c r="H275" s="281"/>
    </row>
    <row r="276" spans="7:8" ht="29.25" customHeight="1">
      <c r="G276" s="272"/>
      <c r="H276" s="281"/>
    </row>
    <row r="277" spans="7:8" ht="29.25" customHeight="1">
      <c r="G277" s="272"/>
      <c r="H277" s="281"/>
    </row>
    <row r="278" spans="7:8" ht="29.25" customHeight="1">
      <c r="G278" s="272"/>
      <c r="H278" s="281"/>
    </row>
    <row r="279" spans="7:8" ht="29.25" customHeight="1">
      <c r="G279" s="272"/>
      <c r="H279" s="281"/>
    </row>
    <row r="280" spans="7:8" ht="29.25" customHeight="1">
      <c r="G280" s="272"/>
      <c r="H280" s="281"/>
    </row>
    <row r="281" spans="7:8" ht="29.25" customHeight="1">
      <c r="G281" s="272"/>
      <c r="H281" s="281"/>
    </row>
    <row r="282" spans="7:8" ht="29.25" customHeight="1">
      <c r="G282" s="272"/>
      <c r="H282" s="281"/>
    </row>
    <row r="283" spans="7:8" ht="29.25" customHeight="1">
      <c r="G283" s="272"/>
      <c r="H283" s="281"/>
    </row>
    <row r="284" spans="7:8" ht="29.25" customHeight="1">
      <c r="G284" s="272"/>
      <c r="H284" s="281"/>
    </row>
    <row r="285" spans="7:8" ht="29.25" customHeight="1">
      <c r="G285" s="272"/>
      <c r="H285" s="281"/>
    </row>
    <row r="286" spans="7:8" ht="29.25" customHeight="1">
      <c r="G286" s="272"/>
      <c r="H286" s="281"/>
    </row>
    <row r="287" spans="7:8" ht="29.25" customHeight="1">
      <c r="G287" s="272"/>
      <c r="H287" s="281"/>
    </row>
    <row r="288" spans="7:8" ht="29.25" customHeight="1">
      <c r="G288" s="272"/>
      <c r="H288" s="281"/>
    </row>
    <row r="289" spans="7:8" ht="29.25" customHeight="1">
      <c r="G289" s="272"/>
      <c r="H289" s="281"/>
    </row>
    <row r="290" spans="7:8" ht="29.25" customHeight="1">
      <c r="G290" s="272"/>
      <c r="H290" s="281"/>
    </row>
    <row r="291" spans="7:8" ht="29.25" customHeight="1">
      <c r="G291" s="272"/>
      <c r="H291" s="281"/>
    </row>
    <row r="292" spans="7:8" ht="29.25" customHeight="1">
      <c r="G292" s="272"/>
      <c r="H292" s="281"/>
    </row>
    <row r="293" spans="7:8" ht="29.25" customHeight="1">
      <c r="G293" s="272"/>
      <c r="H293" s="281"/>
    </row>
    <row r="294" spans="7:8" ht="29.25" customHeight="1">
      <c r="G294" s="272"/>
      <c r="H294" s="281"/>
    </row>
    <row r="295" spans="7:8" ht="29.25" customHeight="1">
      <c r="G295" s="272"/>
      <c r="H295" s="281"/>
    </row>
    <row r="296" spans="7:8" ht="29.25" customHeight="1">
      <c r="G296" s="272"/>
      <c r="H296" s="281"/>
    </row>
    <row r="297" spans="7:8" ht="29.25" customHeight="1">
      <c r="G297" s="272"/>
      <c r="H297" s="281"/>
    </row>
    <row r="298" spans="7:8" ht="29.25" customHeight="1">
      <c r="G298" s="272"/>
      <c r="H298" s="281"/>
    </row>
    <row r="299" spans="7:8" ht="29.25" customHeight="1">
      <c r="G299" s="272"/>
      <c r="H299" s="281"/>
    </row>
    <row r="300" spans="7:8" ht="29.25" customHeight="1">
      <c r="G300" s="272"/>
      <c r="H300" s="281"/>
    </row>
    <row r="301" spans="7:8" ht="29.25" customHeight="1">
      <c r="G301" s="272"/>
      <c r="H301" s="281"/>
    </row>
    <row r="302" spans="7:8" ht="29.25" customHeight="1">
      <c r="G302" s="272"/>
      <c r="H302" s="281"/>
    </row>
    <row r="303" spans="7:8" ht="29.25" customHeight="1">
      <c r="G303" s="272"/>
      <c r="H303" s="281"/>
    </row>
    <row r="304" spans="7:8" ht="29.25" customHeight="1">
      <c r="G304" s="272"/>
      <c r="H304" s="281"/>
    </row>
    <row r="305" spans="7:8" ht="29.25" customHeight="1">
      <c r="G305" s="272"/>
      <c r="H305" s="281"/>
    </row>
    <row r="306" spans="7:8" ht="29.25" customHeight="1">
      <c r="G306" s="272"/>
      <c r="H306" s="281"/>
    </row>
    <row r="307" spans="7:8" ht="29.25" customHeight="1">
      <c r="G307" s="272"/>
      <c r="H307" s="281"/>
    </row>
    <row r="308" spans="7:8" ht="29.25" customHeight="1">
      <c r="G308" s="272"/>
      <c r="H308" s="281"/>
    </row>
    <row r="309" spans="7:8" ht="29.25" customHeight="1">
      <c r="G309" s="272"/>
      <c r="H309" s="281"/>
    </row>
    <row r="310" spans="7:8" ht="29.25" customHeight="1">
      <c r="G310" s="272"/>
      <c r="H310" s="281"/>
    </row>
    <row r="311" spans="7:8" ht="29.25" customHeight="1">
      <c r="G311" s="272"/>
      <c r="H311" s="281"/>
    </row>
    <row r="312" spans="7:8" ht="29.25" customHeight="1">
      <c r="G312" s="272"/>
      <c r="H312" s="281"/>
    </row>
    <row r="313" spans="7:8" ht="29.25" customHeight="1">
      <c r="G313" s="272"/>
      <c r="H313" s="281"/>
    </row>
    <row r="314" spans="7:8" ht="29.25" customHeight="1">
      <c r="G314" s="272"/>
      <c r="H314" s="281"/>
    </row>
    <row r="315" spans="7:8" ht="29.25" customHeight="1">
      <c r="G315" s="272"/>
      <c r="H315" s="281"/>
    </row>
    <row r="316" spans="7:8" ht="29.25" customHeight="1">
      <c r="G316" s="272"/>
      <c r="H316" s="281"/>
    </row>
    <row r="317" spans="7:8" ht="29.25" customHeight="1">
      <c r="G317" s="272"/>
      <c r="H317" s="281"/>
    </row>
    <row r="318" spans="7:8" ht="29.25" customHeight="1">
      <c r="G318" s="272"/>
      <c r="H318" s="281"/>
    </row>
    <row r="319" spans="7:8" ht="29.25" customHeight="1">
      <c r="G319" s="272"/>
      <c r="H319" s="281"/>
    </row>
    <row r="320" spans="7:8" ht="29.25" customHeight="1">
      <c r="G320" s="272"/>
      <c r="H320" s="281"/>
    </row>
    <row r="321" spans="7:8" ht="29.25" customHeight="1">
      <c r="G321" s="272"/>
      <c r="H321" s="281"/>
    </row>
    <row r="322" spans="7:8" ht="29.25" customHeight="1">
      <c r="G322" s="272"/>
      <c r="H322" s="281"/>
    </row>
    <row r="323" spans="7:8" ht="29.25" customHeight="1">
      <c r="G323" s="272"/>
      <c r="H323" s="281"/>
    </row>
    <row r="324" spans="7:8" ht="29.25" customHeight="1">
      <c r="G324" s="272"/>
      <c r="H324" s="281"/>
    </row>
    <row r="325" spans="7:8" ht="29.25" customHeight="1">
      <c r="G325" s="272"/>
      <c r="H325" s="281"/>
    </row>
    <row r="326" spans="7:8" ht="29.25" customHeight="1">
      <c r="G326" s="272"/>
      <c r="H326" s="281"/>
    </row>
    <row r="327" spans="7:8" ht="29.25" customHeight="1">
      <c r="G327" s="272"/>
      <c r="H327" s="281"/>
    </row>
    <row r="328" spans="7:8" ht="29.25" customHeight="1">
      <c r="G328" s="272"/>
      <c r="H328" s="281"/>
    </row>
    <row r="329" spans="7:8" ht="29.25" customHeight="1">
      <c r="G329" s="272"/>
      <c r="H329" s="281"/>
    </row>
    <row r="330" spans="7:8" ht="29.25" customHeight="1">
      <c r="G330" s="272"/>
      <c r="H330" s="281"/>
    </row>
    <row r="331" spans="7:8" ht="29.25" customHeight="1">
      <c r="G331" s="272"/>
      <c r="H331" s="281"/>
    </row>
    <row r="332" spans="7:8" ht="29.25" customHeight="1">
      <c r="G332" s="272"/>
      <c r="H332" s="281"/>
    </row>
    <row r="333" spans="7:8" ht="29.25" customHeight="1">
      <c r="G333" s="272"/>
      <c r="H333" s="281"/>
    </row>
    <row r="334" spans="7:8" ht="29.25" customHeight="1">
      <c r="G334" s="272"/>
      <c r="H334" s="281"/>
    </row>
    <row r="335" spans="7:8" ht="29.25" customHeight="1">
      <c r="G335" s="272"/>
      <c r="H335" s="281"/>
    </row>
    <row r="336" spans="7:8" ht="29.25" customHeight="1">
      <c r="G336" s="272"/>
      <c r="H336" s="281"/>
    </row>
    <row r="337" spans="7:8" ht="29.25" customHeight="1">
      <c r="G337" s="272"/>
      <c r="H337" s="281"/>
    </row>
    <row r="338" spans="7:8" ht="29.25" customHeight="1">
      <c r="G338" s="272"/>
      <c r="H338" s="281"/>
    </row>
    <row r="339" spans="7:8" ht="29.25" customHeight="1">
      <c r="G339" s="272"/>
      <c r="H339" s="281"/>
    </row>
    <row r="340" spans="7:8" ht="29.25" customHeight="1">
      <c r="G340" s="272"/>
      <c r="H340" s="281"/>
    </row>
    <row r="341" spans="7:8" ht="29.25" customHeight="1">
      <c r="G341" s="272"/>
      <c r="H341" s="281"/>
    </row>
    <row r="342" spans="7:8" ht="29.25" customHeight="1">
      <c r="G342" s="272"/>
      <c r="H342" s="281"/>
    </row>
    <row r="343" spans="7:8" ht="29.25" customHeight="1">
      <c r="G343" s="272"/>
      <c r="H343" s="281"/>
    </row>
    <row r="344" spans="7:8" ht="29.25" customHeight="1">
      <c r="G344" s="272"/>
      <c r="H344" s="281"/>
    </row>
    <row r="345" spans="7:8" ht="29.25" customHeight="1">
      <c r="G345" s="272"/>
      <c r="H345" s="281"/>
    </row>
    <row r="346" spans="7:8" ht="29.25" customHeight="1">
      <c r="G346" s="272"/>
      <c r="H346" s="281"/>
    </row>
    <row r="347" spans="7:8" ht="29.25" customHeight="1">
      <c r="G347" s="272"/>
      <c r="H347" s="281"/>
    </row>
    <row r="348" spans="7:8" ht="29.25" customHeight="1">
      <c r="G348" s="272"/>
      <c r="H348" s="281"/>
    </row>
    <row r="349" spans="7:8" ht="29.25" customHeight="1">
      <c r="G349" s="272"/>
      <c r="H349" s="281"/>
    </row>
    <row r="350" spans="7:8" ht="29.25" customHeight="1">
      <c r="G350" s="272"/>
      <c r="H350" s="281"/>
    </row>
    <row r="351" spans="7:8" ht="29.25" customHeight="1">
      <c r="G351" s="272"/>
      <c r="H351" s="281"/>
    </row>
    <row r="352" spans="7:8" ht="29.25" customHeight="1">
      <c r="G352" s="272"/>
      <c r="H352" s="281"/>
    </row>
    <row r="353" spans="7:8" ht="29.25" customHeight="1">
      <c r="G353" s="272"/>
      <c r="H353" s="281"/>
    </row>
    <row r="354" spans="7:8" ht="29.25" customHeight="1">
      <c r="G354" s="272"/>
      <c r="H354" s="281"/>
    </row>
    <row r="355" spans="7:8" ht="29.25" customHeight="1">
      <c r="G355" s="272"/>
      <c r="H355" s="281"/>
    </row>
    <row r="356" spans="7:8" ht="29.25" customHeight="1">
      <c r="G356" s="272"/>
      <c r="H356" s="281"/>
    </row>
    <row r="357" spans="7:8" ht="29.25" customHeight="1">
      <c r="G357" s="272"/>
      <c r="H357" s="281"/>
    </row>
    <row r="358" spans="7:8" ht="29.25" customHeight="1">
      <c r="G358" s="272"/>
      <c r="H358" s="281"/>
    </row>
    <row r="359" spans="7:8" ht="29.25" customHeight="1">
      <c r="G359" s="272"/>
      <c r="H359" s="281"/>
    </row>
    <row r="360" spans="7:8" ht="29.25" customHeight="1">
      <c r="G360" s="272"/>
      <c r="H360" s="281"/>
    </row>
    <row r="361" spans="7:8" ht="29.25" customHeight="1">
      <c r="G361" s="272"/>
      <c r="H361" s="281"/>
    </row>
    <row r="362" spans="7:8" ht="29.25" customHeight="1">
      <c r="G362" s="272"/>
      <c r="H362" s="281"/>
    </row>
    <row r="363" spans="7:8" ht="29.25" customHeight="1">
      <c r="G363" s="272"/>
      <c r="H363" s="281"/>
    </row>
    <row r="364" spans="7:8" ht="29.25" customHeight="1">
      <c r="G364" s="272"/>
      <c r="H364" s="281"/>
    </row>
    <row r="365" spans="7:8" ht="29.25" customHeight="1">
      <c r="G365" s="272"/>
      <c r="H365" s="281"/>
    </row>
    <row r="366" spans="7:8" ht="29.25" customHeight="1">
      <c r="G366" s="272"/>
      <c r="H366" s="281"/>
    </row>
    <row r="367" spans="7:8" ht="29.25" customHeight="1">
      <c r="G367" s="272"/>
      <c r="H367" s="281"/>
    </row>
    <row r="368" spans="7:8" ht="29.25" customHeight="1">
      <c r="G368" s="272"/>
      <c r="H368" s="281"/>
    </row>
    <row r="369" spans="7:8" ht="29.25" customHeight="1">
      <c r="G369" s="272"/>
      <c r="H369" s="281"/>
    </row>
    <row r="370" spans="7:8" ht="29.25" customHeight="1">
      <c r="G370" s="272"/>
      <c r="H370" s="281"/>
    </row>
    <row r="371" spans="7:8" ht="29.25" customHeight="1">
      <c r="G371" s="272"/>
      <c r="H371" s="281"/>
    </row>
    <row r="372" spans="7:8" ht="29.25" customHeight="1">
      <c r="G372" s="272"/>
      <c r="H372" s="281"/>
    </row>
    <row r="373" spans="7:8" ht="29.25" customHeight="1">
      <c r="G373" s="272"/>
      <c r="H373" s="281"/>
    </row>
    <row r="374" spans="7:8" ht="29.25" customHeight="1">
      <c r="G374" s="272"/>
      <c r="H374" s="281"/>
    </row>
    <row r="375" spans="7:8" ht="29.25" customHeight="1">
      <c r="G375" s="272"/>
      <c r="H375" s="281"/>
    </row>
    <row r="376" spans="7:8" ht="29.25" customHeight="1">
      <c r="G376" s="272"/>
      <c r="H376" s="281"/>
    </row>
    <row r="377" spans="7:8" ht="29.25" customHeight="1">
      <c r="G377" s="272"/>
      <c r="H377" s="281"/>
    </row>
    <row r="378" spans="7:8" ht="29.25" customHeight="1">
      <c r="G378" s="272"/>
      <c r="H378" s="281"/>
    </row>
    <row r="379" spans="7:8" ht="29.25" customHeight="1">
      <c r="G379" s="272"/>
      <c r="H379" s="281"/>
    </row>
    <row r="380" spans="7:8" ht="29.25" customHeight="1">
      <c r="G380" s="272"/>
      <c r="H380" s="281"/>
    </row>
    <row r="381" spans="7:8" ht="29.25" customHeight="1">
      <c r="G381" s="272"/>
      <c r="H381" s="281"/>
    </row>
    <row r="382" spans="7:8" ht="29.25" customHeight="1">
      <c r="G382" s="272"/>
      <c r="H382" s="281"/>
    </row>
    <row r="383" spans="7:8" ht="29.25" customHeight="1">
      <c r="G383" s="272"/>
      <c r="H383" s="281"/>
    </row>
    <row r="384" spans="7:8" ht="29.25" customHeight="1">
      <c r="G384" s="272"/>
      <c r="H384" s="281"/>
    </row>
    <row r="385" spans="7:8" ht="29.25" customHeight="1">
      <c r="G385" s="272"/>
      <c r="H385" s="281"/>
    </row>
    <row r="386" spans="7:8" ht="29.25" customHeight="1">
      <c r="G386" s="272"/>
      <c r="H386" s="281"/>
    </row>
    <row r="387" spans="7:8" ht="29.25" customHeight="1">
      <c r="G387" s="272"/>
      <c r="H387" s="281"/>
    </row>
    <row r="388" spans="7:8" ht="29.25" customHeight="1">
      <c r="G388" s="272"/>
      <c r="H388" s="281"/>
    </row>
    <row r="389" spans="7:8" ht="29.25" customHeight="1">
      <c r="G389" s="272"/>
      <c r="H389" s="281"/>
    </row>
    <row r="390" spans="7:8" ht="29.25" customHeight="1">
      <c r="G390" s="272"/>
      <c r="H390" s="281"/>
    </row>
    <row r="391" spans="7:8" ht="29.25" customHeight="1">
      <c r="G391" s="272"/>
      <c r="H391" s="281"/>
    </row>
    <row r="392" spans="7:8" ht="29.25" customHeight="1">
      <c r="G392" s="272"/>
      <c r="H392" s="281"/>
    </row>
    <row r="393" spans="7:8" ht="29.25" customHeight="1">
      <c r="G393" s="272"/>
      <c r="H393" s="281"/>
    </row>
    <row r="394" spans="7:8" ht="29.25" customHeight="1">
      <c r="G394" s="272"/>
      <c r="H394" s="281"/>
    </row>
    <row r="395" spans="7:8" ht="29.25" customHeight="1">
      <c r="G395" s="272"/>
      <c r="H395" s="281"/>
    </row>
    <row r="396" spans="7:8" ht="29.25" customHeight="1">
      <c r="G396" s="272"/>
      <c r="H396" s="281"/>
    </row>
    <row r="397" spans="7:8" ht="29.25" customHeight="1">
      <c r="G397" s="272"/>
      <c r="H397" s="281"/>
    </row>
    <row r="398" spans="7:8" ht="29.25" customHeight="1">
      <c r="G398" s="272"/>
      <c r="H398" s="281"/>
    </row>
    <row r="399" spans="7:8" ht="29.25" customHeight="1">
      <c r="G399" s="272"/>
      <c r="H399" s="281"/>
    </row>
    <row r="400" spans="7:8" ht="29.25" customHeight="1">
      <c r="G400" s="272"/>
      <c r="H400" s="281"/>
    </row>
    <row r="401" spans="7:8" ht="29.25" customHeight="1">
      <c r="G401" s="272"/>
      <c r="H401" s="281"/>
    </row>
    <row r="402" spans="7:8" ht="29.25" customHeight="1">
      <c r="G402" s="272"/>
      <c r="H402" s="281"/>
    </row>
    <row r="403" spans="7:8" ht="29.25" customHeight="1">
      <c r="G403" s="272"/>
      <c r="H403" s="281"/>
    </row>
    <row r="404" spans="7:8" ht="29.25" customHeight="1">
      <c r="G404" s="272"/>
      <c r="H404" s="281"/>
    </row>
    <row r="405" spans="7:8" ht="29.25" customHeight="1">
      <c r="G405" s="272"/>
      <c r="H405" s="281"/>
    </row>
    <row r="406" spans="7:8" ht="29.25" customHeight="1">
      <c r="G406" s="272"/>
      <c r="H406" s="281"/>
    </row>
    <row r="407" spans="7:8" ht="29.25" customHeight="1">
      <c r="G407" s="272"/>
      <c r="H407" s="281"/>
    </row>
    <row r="408" spans="7:8" ht="29.25" customHeight="1">
      <c r="G408" s="272"/>
      <c r="H408" s="281"/>
    </row>
    <row r="409" spans="7:8" ht="29.25" customHeight="1">
      <c r="G409" s="272"/>
      <c r="H409" s="281"/>
    </row>
    <row r="410" spans="7:8" ht="29.25" customHeight="1">
      <c r="G410" s="272"/>
      <c r="H410" s="281"/>
    </row>
    <row r="411" spans="7:8" ht="29.25" customHeight="1">
      <c r="G411" s="272"/>
      <c r="H411" s="281"/>
    </row>
    <row r="412" spans="7:8" ht="29.25" customHeight="1">
      <c r="G412" s="272"/>
      <c r="H412" s="281"/>
    </row>
    <row r="413" spans="7:8" ht="29.25" customHeight="1">
      <c r="G413" s="272"/>
      <c r="H413" s="281"/>
    </row>
    <row r="414" spans="7:8" ht="29.25" customHeight="1">
      <c r="G414" s="272"/>
      <c r="H414" s="281"/>
    </row>
    <row r="415" spans="7:8" ht="29.25" customHeight="1">
      <c r="G415" s="272"/>
      <c r="H415" s="281"/>
    </row>
    <row r="416" spans="7:8" ht="29.25" customHeight="1">
      <c r="G416" s="272"/>
      <c r="H416" s="281"/>
    </row>
    <row r="417" spans="7:8" ht="29.25" customHeight="1">
      <c r="G417" s="272"/>
      <c r="H417" s="281"/>
    </row>
    <row r="418" spans="7:8" ht="29.25" customHeight="1">
      <c r="G418" s="272"/>
      <c r="H418" s="281"/>
    </row>
    <row r="419" spans="7:8" ht="29.25" customHeight="1">
      <c r="G419" s="272"/>
      <c r="H419" s="281"/>
    </row>
    <row r="420" spans="7:8" ht="29.25" customHeight="1">
      <c r="G420" s="272"/>
      <c r="H420" s="281"/>
    </row>
    <row r="421" spans="7:8" ht="29.25" customHeight="1">
      <c r="G421" s="272"/>
      <c r="H421" s="281"/>
    </row>
    <row r="422" spans="7:8" ht="29.25" customHeight="1">
      <c r="G422" s="272"/>
      <c r="H422" s="281"/>
    </row>
    <row r="423" spans="7:8" ht="29.25" customHeight="1">
      <c r="G423" s="272"/>
      <c r="H423" s="281"/>
    </row>
    <row r="424" spans="7:8" ht="29.25" customHeight="1">
      <c r="G424" s="272"/>
      <c r="H424" s="281"/>
    </row>
    <row r="425" spans="7:8" ht="29.25" customHeight="1">
      <c r="G425" s="272"/>
      <c r="H425" s="281"/>
    </row>
    <row r="426" spans="7:8" ht="29.25" customHeight="1">
      <c r="G426" s="272"/>
      <c r="H426" s="281"/>
    </row>
    <row r="427" spans="7:8" ht="29.25" customHeight="1">
      <c r="G427" s="272"/>
      <c r="H427" s="281"/>
    </row>
    <row r="428" spans="7:8" ht="29.25" customHeight="1">
      <c r="G428" s="272"/>
      <c r="H428" s="281"/>
    </row>
    <row r="429" spans="7:8" ht="29.25" customHeight="1">
      <c r="G429" s="272"/>
      <c r="H429" s="281"/>
    </row>
    <row r="430" spans="7:8" ht="29.25" customHeight="1">
      <c r="G430" s="272"/>
      <c r="H430" s="281"/>
    </row>
    <row r="431" spans="7:8" ht="29.25" customHeight="1">
      <c r="G431" s="272"/>
      <c r="H431" s="281"/>
    </row>
    <row r="432" spans="7:8" ht="29.25" customHeight="1">
      <c r="G432" s="272"/>
      <c r="H432" s="281"/>
    </row>
    <row r="433" spans="7:8" ht="29.25" customHeight="1">
      <c r="G433" s="272"/>
      <c r="H433" s="281"/>
    </row>
    <row r="434" spans="7:8" ht="29.25" customHeight="1">
      <c r="G434" s="272"/>
      <c r="H434" s="281"/>
    </row>
    <row r="435" spans="7:8" ht="29.25" customHeight="1">
      <c r="G435" s="272"/>
      <c r="H435" s="281"/>
    </row>
    <row r="436" spans="7:8" ht="29.25" customHeight="1">
      <c r="G436" s="272"/>
      <c r="H436" s="281"/>
    </row>
    <row r="437" spans="7:8" ht="29.25" customHeight="1">
      <c r="G437" s="272"/>
      <c r="H437" s="281"/>
    </row>
    <row r="438" spans="7:8" ht="29.25" customHeight="1">
      <c r="G438" s="272"/>
      <c r="H438" s="281"/>
    </row>
    <row r="439" spans="7:8" ht="29.25" customHeight="1">
      <c r="G439" s="272"/>
      <c r="H439" s="281"/>
    </row>
    <row r="440" spans="7:8" ht="29.25" customHeight="1">
      <c r="G440" s="272"/>
      <c r="H440" s="281"/>
    </row>
    <row r="441" spans="7:8" ht="29.25" customHeight="1">
      <c r="G441" s="272"/>
      <c r="H441" s="281"/>
    </row>
    <row r="442" spans="7:8" ht="29.25" customHeight="1">
      <c r="G442" s="272"/>
      <c r="H442" s="281"/>
    </row>
    <row r="443" spans="7:8" ht="29.25" customHeight="1">
      <c r="G443" s="272"/>
      <c r="H443" s="281"/>
    </row>
    <row r="444" spans="7:8" ht="29.25" customHeight="1">
      <c r="G444" s="272"/>
      <c r="H444" s="281"/>
    </row>
    <row r="445" spans="7:8" ht="29.25" customHeight="1">
      <c r="G445" s="272"/>
      <c r="H445" s="281"/>
    </row>
    <row r="446" spans="7:8" ht="29.25" customHeight="1">
      <c r="G446" s="272"/>
      <c r="H446" s="281"/>
    </row>
    <row r="447" spans="7:8" ht="29.25" customHeight="1">
      <c r="G447" s="272"/>
      <c r="H447" s="281"/>
    </row>
    <row r="448" spans="7:8" ht="29.25" customHeight="1">
      <c r="G448" s="272"/>
      <c r="H448" s="281"/>
    </row>
    <row r="449" spans="7:8" ht="29.25" customHeight="1">
      <c r="G449" s="272"/>
      <c r="H449" s="281"/>
    </row>
    <row r="450" spans="7:8" ht="29.25" customHeight="1">
      <c r="G450" s="272"/>
      <c r="H450" s="281"/>
    </row>
    <row r="451" spans="7:8" ht="29.25" customHeight="1">
      <c r="G451" s="272"/>
      <c r="H451" s="281"/>
    </row>
    <row r="452" spans="7:8" ht="29.25" customHeight="1">
      <c r="G452" s="272"/>
      <c r="H452" s="281"/>
    </row>
    <row r="453" spans="7:8" ht="29.25" customHeight="1">
      <c r="G453" s="272"/>
      <c r="H453" s="281"/>
    </row>
    <row r="454" spans="7:8" ht="29.25" customHeight="1">
      <c r="G454" s="272"/>
      <c r="H454" s="281"/>
    </row>
    <row r="455" spans="7:8" ht="29.25" customHeight="1">
      <c r="G455" s="272"/>
      <c r="H455" s="281"/>
    </row>
    <row r="456" spans="7:8" ht="29.25" customHeight="1">
      <c r="G456" s="272"/>
      <c r="H456" s="281"/>
    </row>
    <row r="457" spans="7:8" ht="29.25" customHeight="1">
      <c r="G457" s="272"/>
      <c r="H457" s="281"/>
    </row>
    <row r="458" spans="7:8" ht="29.25" customHeight="1">
      <c r="G458" s="272"/>
      <c r="H458" s="281"/>
    </row>
    <row r="459" spans="7:8" ht="29.25" customHeight="1">
      <c r="G459" s="272"/>
      <c r="H459" s="281"/>
    </row>
    <row r="460" spans="7:8" ht="29.25" customHeight="1">
      <c r="G460" s="272"/>
      <c r="H460" s="281"/>
    </row>
    <row r="461" spans="7:8" ht="29.25" customHeight="1">
      <c r="G461" s="272"/>
      <c r="H461" s="281"/>
    </row>
    <row r="462" spans="7:8" ht="29.25" customHeight="1">
      <c r="G462" s="272"/>
      <c r="H462" s="281"/>
    </row>
    <row r="463" spans="7:8" ht="29.25" customHeight="1">
      <c r="G463" s="272"/>
      <c r="H463" s="281"/>
    </row>
    <row r="464" spans="7:8" ht="29.25" customHeight="1">
      <c r="G464" s="272"/>
      <c r="H464" s="281"/>
    </row>
    <row r="465" spans="7:8" ht="29.25" customHeight="1">
      <c r="G465" s="272"/>
      <c r="H465" s="281"/>
    </row>
    <row r="466" spans="7:8" ht="29.25" customHeight="1">
      <c r="G466" s="272"/>
      <c r="H466" s="281"/>
    </row>
    <row r="467" spans="7:8" ht="29.25" customHeight="1">
      <c r="G467" s="272"/>
      <c r="H467" s="281"/>
    </row>
    <row r="468" spans="7:8" ht="29.25" customHeight="1">
      <c r="G468" s="272"/>
      <c r="H468" s="281"/>
    </row>
    <row r="469" spans="7:8" ht="29.25" customHeight="1">
      <c r="G469" s="272"/>
      <c r="H469" s="281"/>
    </row>
    <row r="470" spans="7:8" ht="29.25" customHeight="1">
      <c r="G470" s="272"/>
      <c r="H470" s="281"/>
    </row>
    <row r="471" spans="7:8" ht="29.25" customHeight="1">
      <c r="G471" s="272"/>
      <c r="H471" s="281"/>
    </row>
    <row r="472" spans="7:8" ht="29.25" customHeight="1">
      <c r="G472" s="272"/>
      <c r="H472" s="281"/>
    </row>
    <row r="473" spans="7:8" ht="29.25" customHeight="1">
      <c r="G473" s="272"/>
      <c r="H473" s="281"/>
    </row>
    <row r="474" spans="7:8" ht="29.25" customHeight="1">
      <c r="G474" s="272"/>
      <c r="H474" s="281"/>
    </row>
    <row r="475" spans="7:8" ht="29.25" customHeight="1">
      <c r="G475" s="272"/>
      <c r="H475" s="281"/>
    </row>
    <row r="476" spans="7:8" ht="29.25" customHeight="1">
      <c r="G476" s="272"/>
      <c r="H476" s="281"/>
    </row>
    <row r="477" spans="7:8" ht="29.25" customHeight="1">
      <c r="G477" s="272"/>
      <c r="H477" s="281"/>
    </row>
    <row r="478" spans="7:8" ht="29.25" customHeight="1">
      <c r="G478" s="272"/>
      <c r="H478" s="281"/>
    </row>
    <row r="479" spans="7:8" ht="29.25" customHeight="1">
      <c r="G479" s="272"/>
      <c r="H479" s="281"/>
    </row>
    <row r="480" spans="7:8" ht="29.25" customHeight="1">
      <c r="G480" s="272"/>
      <c r="H480" s="281"/>
    </row>
    <row r="481" spans="7:8" ht="29.25" customHeight="1">
      <c r="G481" s="272"/>
      <c r="H481" s="281"/>
    </row>
    <row r="482" spans="7:8" ht="29.25" customHeight="1">
      <c r="G482" s="272"/>
      <c r="H482" s="281"/>
    </row>
    <row r="483" spans="7:8" ht="29.25" customHeight="1">
      <c r="G483" s="272"/>
      <c r="H483" s="281"/>
    </row>
    <row r="484" spans="7:8" ht="29.25" customHeight="1">
      <c r="G484" s="272"/>
      <c r="H484" s="281"/>
    </row>
    <row r="485" spans="7:8" ht="29.25" customHeight="1">
      <c r="G485" s="272"/>
      <c r="H485" s="281"/>
    </row>
    <row r="486" spans="7:8" ht="29.25" customHeight="1">
      <c r="G486" s="272"/>
      <c r="H486" s="281"/>
    </row>
    <row r="487" spans="7:8" ht="29.25" customHeight="1">
      <c r="G487" s="272"/>
      <c r="H487" s="281"/>
    </row>
    <row r="488" spans="7:8" ht="29.25" customHeight="1">
      <c r="G488" s="272"/>
      <c r="H488" s="281"/>
    </row>
    <row r="489" spans="7:8" ht="29.25" customHeight="1">
      <c r="G489" s="272"/>
      <c r="H489" s="281"/>
    </row>
    <row r="490" spans="7:8" ht="29.25" customHeight="1">
      <c r="G490" s="272"/>
      <c r="H490" s="281"/>
    </row>
    <row r="491" spans="7:8" ht="29.25" customHeight="1">
      <c r="G491" s="272"/>
      <c r="H491" s="281"/>
    </row>
    <row r="492" spans="7:8" ht="29.25" customHeight="1">
      <c r="G492" s="272"/>
      <c r="H492" s="281"/>
    </row>
    <row r="493" spans="7:8" ht="29.25" customHeight="1">
      <c r="G493" s="272"/>
      <c r="H493" s="281"/>
    </row>
    <row r="494" spans="7:8" ht="29.25" customHeight="1">
      <c r="G494" s="272"/>
      <c r="H494" s="281"/>
    </row>
    <row r="495" spans="7:8" ht="29.25" customHeight="1">
      <c r="G495" s="272"/>
      <c r="H495" s="281"/>
    </row>
    <row r="496" spans="7:8" ht="29.25" customHeight="1">
      <c r="G496" s="272"/>
      <c r="H496" s="281"/>
    </row>
    <row r="497" spans="7:8" ht="29.25" customHeight="1">
      <c r="G497" s="272"/>
      <c r="H497" s="281"/>
    </row>
    <row r="498" spans="7:8" ht="29.25" customHeight="1">
      <c r="G498" s="272"/>
      <c r="H498" s="281"/>
    </row>
    <row r="499" spans="7:8" ht="29.25" customHeight="1">
      <c r="G499" s="272"/>
      <c r="H499" s="281"/>
    </row>
    <row r="500" spans="7:8" ht="29.25" customHeight="1">
      <c r="G500" s="272"/>
      <c r="H500" s="281"/>
    </row>
    <row r="501" spans="7:8" ht="29.25" customHeight="1">
      <c r="G501" s="272"/>
      <c r="H501" s="281"/>
    </row>
    <row r="502" spans="7:8" ht="29.25" customHeight="1">
      <c r="G502" s="272"/>
      <c r="H502" s="281"/>
    </row>
    <row r="503" spans="7:8" ht="29.25" customHeight="1">
      <c r="G503" s="272"/>
      <c r="H503" s="281"/>
    </row>
    <row r="504" spans="7:8" ht="29.25" customHeight="1">
      <c r="G504" s="272"/>
      <c r="H504" s="281"/>
    </row>
    <row r="505" spans="7:8" ht="29.25" customHeight="1">
      <c r="G505" s="272"/>
      <c r="H505" s="281"/>
    </row>
    <row r="506" spans="7:8" ht="29.25" customHeight="1">
      <c r="G506" s="272"/>
      <c r="H506" s="281"/>
    </row>
    <row r="507" spans="7:8" ht="29.25" customHeight="1">
      <c r="G507" s="272"/>
      <c r="H507" s="281"/>
    </row>
    <row r="508" spans="7:8" ht="29.25" customHeight="1">
      <c r="G508" s="272"/>
      <c r="H508" s="281"/>
    </row>
    <row r="509" spans="7:8" ht="29.25" customHeight="1">
      <c r="G509" s="272"/>
      <c r="H509" s="281"/>
    </row>
    <row r="510" spans="7:8" ht="29.25" customHeight="1">
      <c r="G510" s="272"/>
      <c r="H510" s="281"/>
    </row>
    <row r="511" spans="7:8" ht="29.25" customHeight="1">
      <c r="G511" s="272"/>
      <c r="H511" s="281"/>
    </row>
    <row r="512" spans="7:8" ht="29.25" customHeight="1">
      <c r="G512" s="272"/>
      <c r="H512" s="281"/>
    </row>
    <row r="513" spans="7:8" ht="29.25" customHeight="1">
      <c r="G513" s="272"/>
      <c r="H513" s="281"/>
    </row>
    <row r="514" spans="7:8" ht="29.25" customHeight="1">
      <c r="G514" s="272"/>
      <c r="H514" s="281"/>
    </row>
    <row r="515" spans="7:8" ht="29.25" customHeight="1">
      <c r="G515" s="272"/>
      <c r="H515" s="281"/>
    </row>
    <row r="516" spans="7:8" ht="29.25" customHeight="1">
      <c r="G516" s="272"/>
      <c r="H516" s="281"/>
    </row>
    <row r="517" spans="7:8" ht="29.25" customHeight="1">
      <c r="G517" s="272"/>
      <c r="H517" s="281"/>
    </row>
    <row r="518" spans="7:8" ht="29.25" customHeight="1">
      <c r="G518" s="272"/>
      <c r="H518" s="281"/>
    </row>
    <row r="519" spans="7:8" ht="29.25" customHeight="1">
      <c r="G519" s="272"/>
      <c r="H519" s="281"/>
    </row>
    <row r="520" spans="7:8" ht="29.25" customHeight="1">
      <c r="G520" s="272"/>
      <c r="H520" s="281"/>
    </row>
    <row r="521" spans="7:8" ht="29.25" customHeight="1">
      <c r="G521" s="272"/>
      <c r="H521" s="281"/>
    </row>
    <row r="522" spans="7:8" ht="29.25" customHeight="1">
      <c r="G522" s="272"/>
      <c r="H522" s="281"/>
    </row>
    <row r="523" spans="7:8" ht="29.25" customHeight="1">
      <c r="G523" s="272"/>
      <c r="H523" s="281"/>
    </row>
    <row r="524" spans="7:8" ht="29.25" customHeight="1">
      <c r="G524" s="272"/>
      <c r="H524" s="281"/>
    </row>
    <row r="525" spans="7:8" ht="29.25" customHeight="1">
      <c r="G525" s="272"/>
      <c r="H525" s="281"/>
    </row>
    <row r="526" spans="7:8" ht="29.25" customHeight="1">
      <c r="G526" s="272"/>
      <c r="H526" s="281"/>
    </row>
    <row r="527" spans="7:8" ht="29.25" customHeight="1">
      <c r="G527" s="272"/>
      <c r="H527" s="281"/>
    </row>
    <row r="528" spans="7:8" ht="29.25" customHeight="1">
      <c r="G528" s="272"/>
      <c r="H528" s="281"/>
    </row>
    <row r="529" spans="7:8" ht="29.25" customHeight="1">
      <c r="G529" s="272"/>
      <c r="H529" s="281"/>
    </row>
    <row r="530" spans="7:8" ht="29.25" customHeight="1">
      <c r="G530" s="272"/>
      <c r="H530" s="281"/>
    </row>
    <row r="531" spans="7:8" ht="29.25" customHeight="1">
      <c r="G531" s="272"/>
      <c r="H531" s="281"/>
    </row>
    <row r="532" spans="7:8" ht="29.25" customHeight="1">
      <c r="G532" s="272"/>
      <c r="H532" s="281"/>
    </row>
    <row r="533" spans="7:8" ht="29.25" customHeight="1">
      <c r="G533" s="272"/>
      <c r="H533" s="281"/>
    </row>
    <row r="534" spans="7:8" ht="29.25" customHeight="1">
      <c r="G534" s="272"/>
      <c r="H534" s="281"/>
    </row>
    <row r="535" spans="7:8" ht="29.25" customHeight="1">
      <c r="G535" s="272"/>
      <c r="H535" s="281"/>
    </row>
    <row r="536" spans="7:8" ht="29.25" customHeight="1">
      <c r="G536" s="272"/>
      <c r="H536" s="281"/>
    </row>
    <row r="537" spans="7:8" ht="29.25" customHeight="1">
      <c r="G537" s="272"/>
      <c r="H537" s="281"/>
    </row>
    <row r="538" spans="7:8" ht="29.25" customHeight="1">
      <c r="G538" s="272"/>
      <c r="H538" s="281"/>
    </row>
    <row r="539" spans="7:8" ht="29.25" customHeight="1">
      <c r="G539" s="272"/>
      <c r="H539" s="281"/>
    </row>
    <row r="540" spans="7:8" ht="29.25" customHeight="1">
      <c r="G540" s="272"/>
      <c r="H540" s="281"/>
    </row>
    <row r="541" spans="7:8" ht="29.25" customHeight="1">
      <c r="G541" s="272"/>
      <c r="H541" s="281"/>
    </row>
    <row r="542" spans="7:8" ht="29.25" customHeight="1">
      <c r="G542" s="272"/>
      <c r="H542" s="281"/>
    </row>
    <row r="543" spans="7:8" ht="29.25" customHeight="1">
      <c r="G543" s="272"/>
      <c r="H543" s="281"/>
    </row>
    <row r="544" spans="7:8" ht="29.25" customHeight="1">
      <c r="G544" s="272"/>
      <c r="H544" s="281"/>
    </row>
    <row r="545" spans="7:8" ht="29.25" customHeight="1">
      <c r="G545" s="272"/>
      <c r="H545" s="281"/>
    </row>
    <row r="546" spans="7:8" ht="29.25" customHeight="1">
      <c r="G546" s="272"/>
      <c r="H546" s="281"/>
    </row>
    <row r="547" spans="7:8" ht="29.25" customHeight="1">
      <c r="G547" s="272"/>
      <c r="H547" s="281"/>
    </row>
    <row r="548" spans="7:8" ht="29.25" customHeight="1">
      <c r="G548" s="272"/>
      <c r="H548" s="281"/>
    </row>
    <row r="549" spans="7:8" ht="29.25" customHeight="1">
      <c r="G549" s="272"/>
      <c r="H549" s="281"/>
    </row>
    <row r="550" spans="7:8" ht="29.25" customHeight="1">
      <c r="G550" s="272"/>
      <c r="H550" s="281"/>
    </row>
    <row r="551" spans="7:8" ht="29.25" customHeight="1">
      <c r="G551" s="272"/>
      <c r="H551" s="281"/>
    </row>
    <row r="552" spans="7:8" ht="29.25" customHeight="1">
      <c r="G552" s="272"/>
      <c r="H552" s="281"/>
    </row>
    <row r="553" spans="7:8" ht="29.25" customHeight="1">
      <c r="G553" s="272"/>
      <c r="H553" s="281"/>
    </row>
    <row r="554" spans="7:8" ht="29.25" customHeight="1">
      <c r="G554" s="272"/>
      <c r="H554" s="281"/>
    </row>
    <row r="555" spans="7:8" ht="29.25" customHeight="1">
      <c r="G555" s="272"/>
      <c r="H555" s="281"/>
    </row>
    <row r="556" spans="7:8" ht="29.25" customHeight="1">
      <c r="G556" s="272"/>
      <c r="H556" s="281"/>
    </row>
    <row r="557" spans="7:8" ht="29.25" customHeight="1">
      <c r="G557" s="272"/>
      <c r="H557" s="281"/>
    </row>
    <row r="558" spans="7:8" ht="29.25" customHeight="1">
      <c r="G558" s="272"/>
      <c r="H558" s="281"/>
    </row>
    <row r="559" spans="7:8" ht="29.25" customHeight="1">
      <c r="G559" s="272"/>
      <c r="H559" s="281"/>
    </row>
    <row r="560" spans="7:8" ht="29.25" customHeight="1">
      <c r="G560" s="272"/>
      <c r="H560" s="281"/>
    </row>
    <row r="561" spans="7:8" ht="29.25" customHeight="1">
      <c r="G561" s="272"/>
      <c r="H561" s="281"/>
    </row>
    <row r="562" spans="7:8" ht="29.25" customHeight="1">
      <c r="G562" s="272"/>
      <c r="H562" s="281"/>
    </row>
    <row r="563" spans="7:8" ht="29.25" customHeight="1">
      <c r="G563" s="272"/>
      <c r="H563" s="281"/>
    </row>
    <row r="564" spans="7:8" ht="29.25" customHeight="1">
      <c r="G564" s="272"/>
      <c r="H564" s="281"/>
    </row>
    <row r="565" spans="7:8" ht="29.25" customHeight="1">
      <c r="G565" s="272"/>
      <c r="H565" s="281"/>
    </row>
    <row r="566" spans="7:8" ht="29.25" customHeight="1">
      <c r="G566" s="272"/>
      <c r="H566" s="281"/>
    </row>
    <row r="567" spans="7:8" ht="29.25" customHeight="1">
      <c r="G567" s="272"/>
      <c r="H567" s="281"/>
    </row>
    <row r="568" spans="7:8" ht="29.25" customHeight="1">
      <c r="G568" s="272"/>
      <c r="H568" s="281"/>
    </row>
    <row r="569" spans="7:8" ht="29.25" customHeight="1">
      <c r="G569" s="272"/>
      <c r="H569" s="281"/>
    </row>
    <row r="570" spans="7:8" ht="29.25" customHeight="1">
      <c r="G570" s="272"/>
      <c r="H570" s="281"/>
    </row>
    <row r="571" spans="7:8" ht="29.25" customHeight="1">
      <c r="G571" s="272"/>
      <c r="H571" s="281"/>
    </row>
    <row r="572" spans="7:8" ht="29.25" customHeight="1">
      <c r="G572" s="272"/>
      <c r="H572" s="281"/>
    </row>
    <row r="573" spans="7:8" ht="29.25" customHeight="1">
      <c r="G573" s="272"/>
      <c r="H573" s="281"/>
    </row>
    <row r="574" spans="7:8" ht="29.25" customHeight="1">
      <c r="G574" s="272"/>
      <c r="H574" s="281"/>
    </row>
    <row r="575" spans="7:8" ht="29.25" customHeight="1">
      <c r="G575" s="272"/>
      <c r="H575" s="281"/>
    </row>
    <row r="576" spans="7:8" ht="29.25" customHeight="1">
      <c r="G576" s="272"/>
      <c r="H576" s="281"/>
    </row>
    <row r="577" spans="7:8" ht="29.25" customHeight="1">
      <c r="G577" s="272"/>
      <c r="H577" s="281"/>
    </row>
    <row r="578" spans="7:8" ht="29.25" customHeight="1">
      <c r="G578" s="272"/>
      <c r="H578" s="281"/>
    </row>
    <row r="579" spans="7:8" ht="29.25" customHeight="1">
      <c r="G579" s="272"/>
      <c r="H579" s="281"/>
    </row>
    <row r="580" spans="7:8" ht="29.25" customHeight="1">
      <c r="G580" s="272"/>
      <c r="H580" s="281"/>
    </row>
    <row r="581" spans="7:8" ht="29.25" customHeight="1">
      <c r="G581" s="272"/>
      <c r="H581" s="281"/>
    </row>
    <row r="582" spans="7:8" ht="29.25" customHeight="1">
      <c r="G582" s="272"/>
      <c r="H582" s="281"/>
    </row>
    <row r="583" spans="7:8" ht="29.25" customHeight="1">
      <c r="G583" s="272"/>
      <c r="H583" s="281"/>
    </row>
    <row r="584" spans="7:8" ht="29.25" customHeight="1">
      <c r="G584" s="272"/>
      <c r="H584" s="281"/>
    </row>
    <row r="585" spans="7:8" ht="29.25" customHeight="1">
      <c r="G585" s="272"/>
      <c r="H585" s="281"/>
    </row>
    <row r="586" spans="7:8" ht="29.25" customHeight="1">
      <c r="G586" s="272"/>
      <c r="H586" s="281"/>
    </row>
    <row r="587" spans="7:8" ht="29.25" customHeight="1">
      <c r="G587" s="272"/>
      <c r="H587" s="281"/>
    </row>
    <row r="588" spans="7:8" ht="29.25" customHeight="1">
      <c r="G588" s="272"/>
      <c r="H588" s="281"/>
    </row>
    <row r="589" spans="7:8" ht="29.25" customHeight="1">
      <c r="G589" s="272"/>
      <c r="H589" s="281"/>
    </row>
    <row r="590" spans="7:8" ht="29.25" customHeight="1">
      <c r="G590" s="272"/>
      <c r="H590" s="281"/>
    </row>
    <row r="591" spans="7:8" ht="29.25" customHeight="1">
      <c r="G591" s="272"/>
      <c r="H591" s="281"/>
    </row>
    <row r="592" spans="7:8" ht="29.25" customHeight="1">
      <c r="G592" s="272"/>
      <c r="H592" s="281"/>
    </row>
    <row r="593" spans="7:8" ht="29.25" customHeight="1">
      <c r="G593" s="272"/>
      <c r="H593" s="281"/>
    </row>
    <row r="594" spans="7:8" ht="29.25" customHeight="1">
      <c r="G594" s="272"/>
      <c r="H594" s="281"/>
    </row>
    <row r="595" spans="7:8" ht="29.25" customHeight="1">
      <c r="G595" s="272"/>
      <c r="H595" s="281"/>
    </row>
    <row r="596" spans="7:8" ht="29.25" customHeight="1">
      <c r="G596" s="272"/>
      <c r="H596" s="281"/>
    </row>
    <row r="597" spans="7:8" ht="29.25" customHeight="1">
      <c r="G597" s="272"/>
      <c r="H597" s="281"/>
    </row>
    <row r="598" spans="7:8" ht="29.25" customHeight="1">
      <c r="G598" s="272"/>
      <c r="H598" s="281"/>
    </row>
    <row r="599" spans="7:8" ht="29.25" customHeight="1">
      <c r="G599" s="272"/>
      <c r="H599" s="281"/>
    </row>
    <row r="600" spans="7:8" ht="29.25" customHeight="1">
      <c r="G600" s="272"/>
      <c r="H600" s="281"/>
    </row>
    <row r="601" spans="7:8" ht="29.25" customHeight="1">
      <c r="G601" s="272"/>
      <c r="H601" s="281"/>
    </row>
    <row r="602" spans="7:8" ht="29.25" customHeight="1">
      <c r="G602" s="272"/>
      <c r="H602" s="281"/>
    </row>
    <row r="603" spans="7:8" ht="29.25" customHeight="1">
      <c r="G603" s="272"/>
      <c r="H603" s="281"/>
    </row>
    <row r="604" spans="7:8" ht="29.25" customHeight="1">
      <c r="G604" s="272"/>
      <c r="H604" s="281"/>
    </row>
    <row r="605" spans="7:8" ht="29.25" customHeight="1">
      <c r="G605" s="272"/>
      <c r="H605" s="281"/>
    </row>
    <row r="606" spans="7:8" ht="29.25" customHeight="1">
      <c r="G606" s="272"/>
      <c r="H606" s="281"/>
    </row>
    <row r="607" spans="7:8" ht="29.25" customHeight="1">
      <c r="G607" s="272"/>
      <c r="H607" s="281"/>
    </row>
    <row r="608" spans="7:8" ht="29.25" customHeight="1">
      <c r="G608" s="272"/>
      <c r="H608" s="281"/>
    </row>
    <row r="609" spans="7:8" ht="29.25" customHeight="1">
      <c r="G609" s="272"/>
      <c r="H609" s="281"/>
    </row>
    <row r="610" spans="7:8" ht="29.25" customHeight="1">
      <c r="G610" s="272"/>
      <c r="H610" s="281"/>
    </row>
    <row r="611" spans="7:8" ht="29.25" customHeight="1">
      <c r="G611" s="272"/>
      <c r="H611" s="281"/>
    </row>
    <row r="612" spans="7:8" ht="29.25" customHeight="1">
      <c r="G612" s="272"/>
      <c r="H612" s="281"/>
    </row>
    <row r="613" spans="7:8" ht="29.25" customHeight="1">
      <c r="G613" s="272"/>
      <c r="H613" s="281"/>
    </row>
    <row r="614" spans="7:8" ht="29.25" customHeight="1">
      <c r="G614" s="272"/>
      <c r="H614" s="281"/>
    </row>
    <row r="615" spans="7:8" ht="29.25" customHeight="1">
      <c r="G615" s="272"/>
      <c r="H615" s="281"/>
    </row>
    <row r="616" spans="7:8" ht="29.25" customHeight="1">
      <c r="G616" s="272"/>
      <c r="H616" s="281"/>
    </row>
    <row r="617" spans="7:8" ht="29.25" customHeight="1">
      <c r="G617" s="272"/>
      <c r="H617" s="281"/>
    </row>
    <row r="618" spans="7:8" ht="29.25" customHeight="1">
      <c r="G618" s="272"/>
      <c r="H618" s="281"/>
    </row>
    <row r="619" spans="7:8" ht="29.25" customHeight="1">
      <c r="G619" s="272"/>
      <c r="H619" s="281"/>
    </row>
    <row r="620" spans="7:8" ht="29.25" customHeight="1">
      <c r="G620" s="272"/>
      <c r="H620" s="281"/>
    </row>
    <row r="621" spans="7:8" ht="29.25" customHeight="1">
      <c r="G621" s="272"/>
      <c r="H621" s="281"/>
    </row>
    <row r="622" spans="7:8" ht="29.25" customHeight="1">
      <c r="G622" s="272"/>
      <c r="H622" s="281"/>
    </row>
    <row r="623" spans="7:8" ht="29.25" customHeight="1">
      <c r="G623" s="272"/>
      <c r="H623" s="281"/>
    </row>
    <row r="624" spans="7:8" ht="29.25" customHeight="1">
      <c r="G624" s="272"/>
      <c r="H624" s="281"/>
    </row>
    <row r="625" spans="7:8" ht="29.25" customHeight="1">
      <c r="G625" s="272"/>
      <c r="H625" s="281"/>
    </row>
    <row r="626" spans="7:8" ht="29.25" customHeight="1">
      <c r="G626" s="272"/>
      <c r="H626" s="281"/>
    </row>
    <row r="627" spans="7:8" ht="29.25" customHeight="1">
      <c r="G627" s="272"/>
      <c r="H627" s="281"/>
    </row>
    <row r="628" spans="7:8" ht="29.25" customHeight="1">
      <c r="G628" s="272"/>
      <c r="H628" s="281"/>
    </row>
    <row r="629" spans="7:8" ht="29.25" customHeight="1">
      <c r="G629" s="272"/>
      <c r="H629" s="281"/>
    </row>
    <row r="630" spans="7:8" ht="29.25" customHeight="1">
      <c r="G630" s="272"/>
      <c r="H630" s="281"/>
    </row>
    <row r="631" spans="7:8" ht="29.25" customHeight="1">
      <c r="G631" s="272"/>
      <c r="H631" s="281"/>
    </row>
    <row r="632" spans="7:8" ht="29.25" customHeight="1">
      <c r="G632" s="272"/>
      <c r="H632" s="281"/>
    </row>
    <row r="633" spans="7:8" ht="29.25" customHeight="1">
      <c r="G633" s="272"/>
      <c r="H633" s="281"/>
    </row>
    <row r="634" spans="7:8" ht="29.25" customHeight="1">
      <c r="G634" s="272"/>
      <c r="H634" s="281"/>
    </row>
    <row r="635" spans="7:8" ht="29.25" customHeight="1">
      <c r="G635" s="272"/>
      <c r="H635" s="281"/>
    </row>
    <row r="636" spans="7:8" ht="29.25" customHeight="1">
      <c r="G636" s="272"/>
      <c r="H636" s="281"/>
    </row>
    <row r="637" spans="7:8" ht="29.25" customHeight="1">
      <c r="G637" s="272"/>
      <c r="H637" s="281"/>
    </row>
    <row r="638" spans="7:8" ht="29.25" customHeight="1">
      <c r="G638" s="272"/>
      <c r="H638" s="281"/>
    </row>
    <row r="639" spans="7:8" ht="29.25" customHeight="1">
      <c r="G639" s="272"/>
      <c r="H639" s="281"/>
    </row>
    <row r="640" spans="7:8" ht="29.25" customHeight="1">
      <c r="G640" s="272"/>
      <c r="H640" s="281"/>
    </row>
    <row r="641" spans="7:8" ht="29.25" customHeight="1">
      <c r="G641" s="272"/>
      <c r="H641" s="281"/>
    </row>
    <row r="642" spans="7:8" ht="29.25" customHeight="1">
      <c r="G642" s="272"/>
      <c r="H642" s="281"/>
    </row>
    <row r="643" spans="7:8" ht="29.25" customHeight="1">
      <c r="G643" s="272"/>
      <c r="H643" s="281"/>
    </row>
    <row r="644" spans="7:8" ht="29.25" customHeight="1">
      <c r="G644" s="272"/>
      <c r="H644" s="281"/>
    </row>
    <row r="645" spans="7:8" ht="29.25" customHeight="1">
      <c r="G645" s="272"/>
      <c r="H645" s="281"/>
    </row>
    <row r="646" spans="7:8" ht="29.25" customHeight="1">
      <c r="G646" s="272"/>
      <c r="H646" s="281"/>
    </row>
    <row r="647" spans="7:8" ht="29.25" customHeight="1">
      <c r="G647" s="272"/>
      <c r="H647" s="281"/>
    </row>
    <row r="648" spans="7:8" ht="29.25" customHeight="1">
      <c r="G648" s="272"/>
      <c r="H648" s="281"/>
    </row>
    <row r="649" spans="7:8" ht="29.25" customHeight="1">
      <c r="G649" s="272"/>
      <c r="H649" s="281"/>
    </row>
    <row r="650" spans="7:8" ht="29.25" customHeight="1">
      <c r="G650" s="272"/>
      <c r="H650" s="281"/>
    </row>
    <row r="651" spans="7:8" ht="29.25" customHeight="1">
      <c r="G651" s="272"/>
      <c r="H651" s="281"/>
    </row>
    <row r="652" spans="7:8" ht="29.25" customHeight="1">
      <c r="G652" s="272"/>
      <c r="H652" s="281"/>
    </row>
    <row r="653" spans="7:8" ht="29.25" customHeight="1">
      <c r="G653" s="272"/>
      <c r="H653" s="281"/>
    </row>
    <row r="654" spans="7:8" ht="29.25" customHeight="1">
      <c r="G654" s="272"/>
      <c r="H654" s="281"/>
    </row>
    <row r="655" spans="7:8" ht="29.25" customHeight="1">
      <c r="G655" s="272"/>
      <c r="H655" s="281"/>
    </row>
    <row r="656" spans="7:8" ht="29.25" customHeight="1">
      <c r="G656" s="272"/>
      <c r="H656" s="281"/>
    </row>
    <row r="657" spans="7:8" ht="29.25" customHeight="1">
      <c r="G657" s="272"/>
      <c r="H657" s="281"/>
    </row>
    <row r="658" spans="7:8" ht="29.25" customHeight="1">
      <c r="G658" s="272"/>
      <c r="H658" s="281"/>
    </row>
    <row r="659" spans="7:8" ht="29.25" customHeight="1">
      <c r="G659" s="272"/>
      <c r="H659" s="281"/>
    </row>
    <row r="660" spans="7:8" ht="29.25" customHeight="1">
      <c r="G660" s="272"/>
      <c r="H660" s="281"/>
    </row>
    <row r="661" spans="7:8" ht="29.25" customHeight="1">
      <c r="G661" s="272"/>
      <c r="H661" s="281"/>
    </row>
    <row r="662" spans="7:8" ht="29.25" customHeight="1">
      <c r="G662" s="272"/>
      <c r="H662" s="281"/>
    </row>
    <row r="663" spans="7:8" ht="29.25" customHeight="1">
      <c r="G663" s="272"/>
      <c r="H663" s="281"/>
    </row>
    <row r="664" spans="7:8" ht="29.25" customHeight="1">
      <c r="G664" s="272"/>
      <c r="H664" s="281"/>
    </row>
    <row r="665" spans="7:8" ht="29.25" customHeight="1">
      <c r="G665" s="272"/>
      <c r="H665" s="281"/>
    </row>
    <row r="666" spans="7:8" ht="29.25" customHeight="1">
      <c r="G666" s="272"/>
      <c r="H666" s="281"/>
    </row>
    <row r="667" spans="7:8" ht="29.25" customHeight="1">
      <c r="G667" s="272"/>
      <c r="H667" s="281"/>
    </row>
    <row r="668" spans="7:8" ht="29.25" customHeight="1">
      <c r="G668" s="272"/>
      <c r="H668" s="281"/>
    </row>
    <row r="669" spans="7:8" ht="29.25" customHeight="1">
      <c r="G669" s="272"/>
      <c r="H669" s="281"/>
    </row>
    <row r="670" spans="7:8" ht="29.25" customHeight="1">
      <c r="G670" s="272"/>
      <c r="H670" s="281"/>
    </row>
    <row r="671" spans="7:8" ht="29.25" customHeight="1">
      <c r="G671" s="272"/>
      <c r="H671" s="281"/>
    </row>
    <row r="672" spans="7:8" ht="29.25" customHeight="1">
      <c r="G672" s="272"/>
      <c r="H672" s="281"/>
    </row>
    <row r="673" spans="7:8" ht="29.25" customHeight="1">
      <c r="G673" s="272"/>
      <c r="H673" s="281"/>
    </row>
    <row r="674" spans="7:8" ht="29.25" customHeight="1">
      <c r="G674" s="272"/>
      <c r="H674" s="281"/>
    </row>
    <row r="675" spans="7:8" ht="29.25" customHeight="1">
      <c r="G675" s="272"/>
      <c r="H675" s="281"/>
    </row>
    <row r="676" spans="7:8" ht="29.25" customHeight="1">
      <c r="G676" s="272"/>
      <c r="H676" s="281"/>
    </row>
    <row r="677" spans="7:8" ht="29.25" customHeight="1">
      <c r="G677" s="272"/>
      <c r="H677" s="281"/>
    </row>
    <row r="678" spans="7:8" ht="29.25" customHeight="1">
      <c r="G678" s="272"/>
      <c r="H678" s="281"/>
    </row>
    <row r="679" spans="7:8" ht="29.25" customHeight="1">
      <c r="G679" s="272"/>
      <c r="H679" s="281"/>
    </row>
    <row r="680" spans="7:8" ht="29.25" customHeight="1">
      <c r="G680" s="272"/>
      <c r="H680" s="281"/>
    </row>
    <row r="681" spans="7:8" ht="29.25" customHeight="1">
      <c r="G681" s="272"/>
      <c r="H681" s="281"/>
    </row>
    <row r="682" spans="7:8" ht="29.25" customHeight="1">
      <c r="G682" s="272"/>
      <c r="H682" s="281"/>
    </row>
    <row r="683" spans="7:8" ht="29.25" customHeight="1">
      <c r="G683" s="272"/>
      <c r="H683" s="281"/>
    </row>
    <row r="684" spans="7:8" ht="29.25" customHeight="1">
      <c r="G684" s="272"/>
      <c r="H684" s="281"/>
    </row>
    <row r="685" spans="7:8" ht="29.25" customHeight="1">
      <c r="G685" s="272"/>
      <c r="H685" s="281"/>
    </row>
    <row r="686" spans="7:8" ht="29.25" customHeight="1">
      <c r="G686" s="272"/>
      <c r="H686" s="281"/>
    </row>
    <row r="687" spans="7:8" ht="29.25" customHeight="1">
      <c r="G687" s="272"/>
      <c r="H687" s="281"/>
    </row>
    <row r="688" spans="7:8" ht="29.25" customHeight="1">
      <c r="G688" s="272"/>
      <c r="H688" s="281"/>
    </row>
    <row r="689" spans="7:8" ht="29.25" customHeight="1">
      <c r="G689" s="272"/>
      <c r="H689" s="281"/>
    </row>
    <row r="690" spans="7:8" ht="29.25" customHeight="1">
      <c r="G690" s="272"/>
      <c r="H690" s="281"/>
    </row>
    <row r="691" spans="7:8" ht="29.25" customHeight="1">
      <c r="G691" s="272"/>
      <c r="H691" s="281"/>
    </row>
    <row r="692" spans="7:8" ht="29.25" customHeight="1">
      <c r="G692" s="272"/>
      <c r="H692" s="281"/>
    </row>
    <row r="693" spans="7:8" ht="29.25" customHeight="1">
      <c r="G693" s="272"/>
      <c r="H693" s="281"/>
    </row>
    <row r="694" spans="7:8" ht="29.25" customHeight="1">
      <c r="G694" s="272"/>
      <c r="H694" s="281"/>
    </row>
    <row r="695" spans="7:8" ht="29.25" customHeight="1">
      <c r="G695" s="272"/>
      <c r="H695" s="281"/>
    </row>
    <row r="696" spans="7:8" ht="29.25" customHeight="1">
      <c r="G696" s="272"/>
      <c r="H696" s="281"/>
    </row>
    <row r="697" spans="7:8" ht="29.25" customHeight="1">
      <c r="G697" s="272"/>
      <c r="H697" s="281"/>
    </row>
    <row r="698" spans="7:8" ht="29.25" customHeight="1">
      <c r="G698" s="272"/>
      <c r="H698" s="281"/>
    </row>
    <row r="699" spans="7:8" ht="29.25" customHeight="1">
      <c r="G699" s="272"/>
      <c r="H699" s="281"/>
    </row>
    <row r="700" spans="7:8" ht="29.25" customHeight="1">
      <c r="G700" s="272"/>
      <c r="H700" s="281"/>
    </row>
    <row r="701" spans="7:8" ht="29.25" customHeight="1">
      <c r="G701" s="272"/>
      <c r="H701" s="281"/>
    </row>
    <row r="702" spans="7:8" ht="29.25" customHeight="1">
      <c r="G702" s="272"/>
      <c r="H702" s="281"/>
    </row>
    <row r="703" spans="7:8" ht="29.25" customHeight="1">
      <c r="G703" s="272"/>
      <c r="H703" s="281"/>
    </row>
    <row r="704" spans="7:8" ht="29.25" customHeight="1">
      <c r="G704" s="272"/>
      <c r="H704" s="281"/>
    </row>
    <row r="705" spans="7:8" ht="29.25" customHeight="1">
      <c r="G705" s="272"/>
      <c r="H705" s="281"/>
    </row>
    <row r="706" spans="7:8" ht="29.25" customHeight="1">
      <c r="G706" s="272"/>
      <c r="H706" s="281"/>
    </row>
    <row r="707" spans="7:8" ht="29.25" customHeight="1">
      <c r="G707" s="272"/>
      <c r="H707" s="281"/>
    </row>
    <row r="708" spans="7:8" ht="29.25" customHeight="1">
      <c r="G708" s="272"/>
      <c r="H708" s="281"/>
    </row>
    <row r="709" spans="7:8" ht="29.25" customHeight="1">
      <c r="G709" s="272"/>
      <c r="H709" s="281"/>
    </row>
    <row r="710" spans="7:8" ht="29.25" customHeight="1">
      <c r="G710" s="272"/>
      <c r="H710" s="281"/>
    </row>
    <row r="711" spans="7:8" ht="29.25" customHeight="1">
      <c r="G711" s="272"/>
      <c r="H711" s="281"/>
    </row>
    <row r="712" spans="7:8" ht="29.25" customHeight="1">
      <c r="G712" s="272"/>
      <c r="H712" s="281"/>
    </row>
    <row r="713" spans="7:8" ht="29.25" customHeight="1">
      <c r="G713" s="272"/>
      <c r="H713" s="281"/>
    </row>
    <row r="714" spans="7:8" ht="29.25" customHeight="1">
      <c r="G714" s="272"/>
      <c r="H714" s="281"/>
    </row>
    <row r="715" spans="7:8" ht="29.25" customHeight="1">
      <c r="G715" s="272"/>
      <c r="H715" s="281"/>
    </row>
    <row r="716" spans="7:8" ht="29.25" customHeight="1">
      <c r="G716" s="272"/>
      <c r="H716" s="281"/>
    </row>
    <row r="717" spans="7:8" ht="29.25" customHeight="1">
      <c r="G717" s="272"/>
      <c r="H717" s="281"/>
    </row>
    <row r="718" spans="7:8" ht="29.25" customHeight="1">
      <c r="G718" s="272"/>
      <c r="H718" s="281"/>
    </row>
    <row r="719" spans="7:8" ht="29.25" customHeight="1">
      <c r="G719" s="272"/>
      <c r="H719" s="281"/>
    </row>
    <row r="720" spans="7:8" ht="29.25" customHeight="1">
      <c r="G720" s="272"/>
      <c r="H720" s="281"/>
    </row>
    <row r="721" spans="7:8" ht="29.25" customHeight="1">
      <c r="G721" s="272"/>
      <c r="H721" s="281"/>
    </row>
    <row r="722" spans="7:8" ht="29.25" customHeight="1">
      <c r="G722" s="272"/>
      <c r="H722" s="281"/>
    </row>
    <row r="723" spans="7:8" ht="29.25" customHeight="1">
      <c r="G723" s="272"/>
      <c r="H723" s="281"/>
    </row>
    <row r="724" spans="7:8" ht="29.25" customHeight="1">
      <c r="G724" s="272"/>
      <c r="H724" s="281"/>
    </row>
    <row r="725" spans="7:8" ht="29.25" customHeight="1">
      <c r="G725" s="272"/>
      <c r="H725" s="281"/>
    </row>
    <row r="726" spans="7:8" ht="29.25" customHeight="1">
      <c r="G726" s="272"/>
      <c r="H726" s="281"/>
    </row>
    <row r="727" spans="7:8" ht="29.25" customHeight="1">
      <c r="G727" s="272"/>
      <c r="H727" s="281"/>
    </row>
    <row r="728" spans="7:8" ht="29.25" customHeight="1">
      <c r="G728" s="272"/>
      <c r="H728" s="281"/>
    </row>
    <row r="729" spans="7:8" ht="29.25" customHeight="1">
      <c r="G729" s="272"/>
      <c r="H729" s="281"/>
    </row>
    <row r="730" spans="7:8" ht="29.25" customHeight="1">
      <c r="G730" s="272"/>
      <c r="H730" s="281"/>
    </row>
    <row r="731" spans="7:8" ht="29.25" customHeight="1">
      <c r="G731" s="272"/>
      <c r="H731" s="281"/>
    </row>
    <row r="732" spans="7:8" ht="29.25" customHeight="1">
      <c r="G732" s="272"/>
      <c r="H732" s="281"/>
    </row>
    <row r="733" spans="7:8" ht="29.25" customHeight="1">
      <c r="G733" s="272"/>
      <c r="H733" s="281"/>
    </row>
    <row r="734" spans="7:8" ht="29.25" customHeight="1">
      <c r="G734" s="272"/>
      <c r="H734" s="281"/>
    </row>
    <row r="735" spans="7:8" ht="29.25" customHeight="1">
      <c r="G735" s="272"/>
      <c r="H735" s="281"/>
    </row>
    <row r="736" spans="7:8" ht="29.25" customHeight="1">
      <c r="G736" s="272"/>
      <c r="H736" s="281"/>
    </row>
    <row r="737" spans="7:8" ht="29.25" customHeight="1">
      <c r="G737" s="272"/>
      <c r="H737" s="281"/>
    </row>
    <row r="738" spans="7:8" ht="29.25" customHeight="1">
      <c r="G738" s="272"/>
      <c r="H738" s="281"/>
    </row>
    <row r="739" spans="7:8" ht="29.25" customHeight="1">
      <c r="G739" s="272"/>
      <c r="H739" s="281"/>
    </row>
    <row r="740" spans="7:8" ht="29.25" customHeight="1">
      <c r="G740" s="272"/>
      <c r="H740" s="281"/>
    </row>
    <row r="741" spans="7:8" ht="29.25" customHeight="1">
      <c r="G741" s="272"/>
      <c r="H741" s="281"/>
    </row>
    <row r="742" spans="7:8" ht="29.25" customHeight="1">
      <c r="G742" s="272"/>
      <c r="H742" s="281"/>
    </row>
    <row r="743" spans="7:8" ht="29.25" customHeight="1">
      <c r="G743" s="272"/>
      <c r="H743" s="281"/>
    </row>
    <row r="744" spans="7:8" ht="29.25" customHeight="1">
      <c r="G744" s="272"/>
      <c r="H744" s="281"/>
    </row>
    <row r="745" spans="7:8" ht="29.25" customHeight="1">
      <c r="G745" s="272"/>
      <c r="H745" s="281"/>
    </row>
    <row r="746" spans="7:8" ht="29.25" customHeight="1">
      <c r="G746" s="272"/>
      <c r="H746" s="281"/>
    </row>
    <row r="747" spans="7:8" ht="29.25" customHeight="1">
      <c r="G747" s="272"/>
      <c r="H747" s="281"/>
    </row>
    <row r="748" spans="7:8" ht="29.25" customHeight="1">
      <c r="G748" s="272"/>
      <c r="H748" s="281"/>
    </row>
    <row r="749" spans="7:8" ht="29.25" customHeight="1">
      <c r="G749" s="272"/>
      <c r="H749" s="281"/>
    </row>
    <row r="750" spans="7:8" ht="29.25" customHeight="1">
      <c r="G750" s="272"/>
      <c r="H750" s="281"/>
    </row>
    <row r="751" spans="7:8" ht="29.25" customHeight="1">
      <c r="G751" s="272"/>
      <c r="H751" s="281"/>
    </row>
    <row r="752" spans="7:8" ht="29.25" customHeight="1">
      <c r="G752" s="272"/>
      <c r="H752" s="281"/>
    </row>
    <row r="753" spans="7:8" ht="29.25" customHeight="1">
      <c r="G753" s="272"/>
      <c r="H753" s="281"/>
    </row>
    <row r="754" spans="7:8" ht="29.25" customHeight="1">
      <c r="G754" s="272"/>
      <c r="H754" s="281"/>
    </row>
    <row r="755" spans="7:8" ht="29.25" customHeight="1">
      <c r="G755" s="272"/>
      <c r="H755" s="281"/>
    </row>
    <row r="756" spans="7:8" ht="29.25" customHeight="1">
      <c r="G756" s="272"/>
      <c r="H756" s="281"/>
    </row>
    <row r="757" spans="7:8" ht="29.25" customHeight="1">
      <c r="G757" s="272"/>
      <c r="H757" s="281"/>
    </row>
    <row r="758" spans="7:8" ht="29.25" customHeight="1">
      <c r="G758" s="272"/>
      <c r="H758" s="281"/>
    </row>
    <row r="759" spans="7:8" ht="29.25" customHeight="1">
      <c r="G759" s="272"/>
      <c r="H759" s="281"/>
    </row>
    <row r="760" spans="7:8" ht="29.25" customHeight="1">
      <c r="G760" s="272"/>
      <c r="H760" s="281"/>
    </row>
    <row r="761" spans="7:8" ht="29.25" customHeight="1">
      <c r="G761" s="272"/>
      <c r="H761" s="281"/>
    </row>
    <row r="762" spans="7:8" ht="29.25" customHeight="1">
      <c r="G762" s="272"/>
      <c r="H762" s="281"/>
    </row>
    <row r="763" spans="7:8" ht="29.25" customHeight="1">
      <c r="G763" s="272"/>
      <c r="H763" s="281"/>
    </row>
    <row r="764" spans="7:8" ht="29.25" customHeight="1">
      <c r="G764" s="272"/>
      <c r="H764" s="281"/>
    </row>
    <row r="765" spans="7:8" ht="29.25" customHeight="1">
      <c r="G765" s="272"/>
      <c r="H765" s="281"/>
    </row>
    <row r="766" spans="7:8" ht="29.25" customHeight="1">
      <c r="G766" s="272"/>
      <c r="H766" s="281"/>
    </row>
    <row r="767" spans="7:8" ht="29.25" customHeight="1">
      <c r="G767" s="272"/>
      <c r="H767" s="281"/>
    </row>
    <row r="768" spans="7:8" ht="29.25" customHeight="1">
      <c r="G768" s="272"/>
      <c r="H768" s="281"/>
    </row>
    <row r="769" spans="7:8" ht="29.25" customHeight="1">
      <c r="G769" s="272"/>
      <c r="H769" s="281"/>
    </row>
    <row r="770" spans="7:8" ht="29.25" customHeight="1">
      <c r="G770" s="272"/>
      <c r="H770" s="281"/>
    </row>
    <row r="771" spans="7:8" ht="29.25" customHeight="1">
      <c r="G771" s="272"/>
      <c r="H771" s="281"/>
    </row>
    <row r="772" spans="7:8" ht="29.25" customHeight="1">
      <c r="G772" s="272"/>
      <c r="H772" s="281"/>
    </row>
    <row r="773" spans="7:8" ht="29.25" customHeight="1">
      <c r="G773" s="272"/>
      <c r="H773" s="281"/>
    </row>
    <row r="774" spans="7:8" ht="29.25" customHeight="1">
      <c r="G774" s="272"/>
      <c r="H774" s="281"/>
    </row>
    <row r="775" spans="7:8" ht="29.25" customHeight="1">
      <c r="G775" s="272"/>
      <c r="H775" s="281"/>
    </row>
    <row r="776" spans="7:8" ht="29.25" customHeight="1">
      <c r="G776" s="272"/>
      <c r="H776" s="281"/>
    </row>
    <row r="777" spans="7:8" ht="29.25" customHeight="1">
      <c r="G777" s="272"/>
      <c r="H777" s="281"/>
    </row>
    <row r="778" spans="7:8" ht="29.25" customHeight="1">
      <c r="G778" s="272"/>
      <c r="H778" s="281"/>
    </row>
    <row r="779" spans="7:8" ht="29.25" customHeight="1">
      <c r="G779" s="272"/>
      <c r="H779" s="281"/>
    </row>
    <row r="780" spans="7:8" ht="29.25" customHeight="1">
      <c r="G780" s="272"/>
      <c r="H780" s="281"/>
    </row>
    <row r="781" spans="7:8" ht="29.25" customHeight="1">
      <c r="G781" s="272"/>
      <c r="H781" s="281"/>
    </row>
    <row r="782" spans="7:8" ht="29.25" customHeight="1">
      <c r="G782" s="272"/>
      <c r="H782" s="281"/>
    </row>
    <row r="783" spans="7:8" ht="29.25" customHeight="1">
      <c r="G783" s="272"/>
      <c r="H783" s="281"/>
    </row>
    <row r="784" spans="7:8" ht="29.25" customHeight="1">
      <c r="G784" s="272"/>
      <c r="H784" s="281"/>
    </row>
    <row r="785" spans="7:8" ht="29.25" customHeight="1">
      <c r="G785" s="272"/>
      <c r="H785" s="281"/>
    </row>
    <row r="786" spans="7:8" ht="29.25" customHeight="1">
      <c r="G786" s="272"/>
      <c r="H786" s="281"/>
    </row>
    <row r="787" spans="7:8" ht="29.25" customHeight="1">
      <c r="G787" s="272"/>
      <c r="H787" s="281"/>
    </row>
    <row r="788" spans="7:8" ht="29.25" customHeight="1">
      <c r="G788" s="272"/>
      <c r="H788" s="281"/>
    </row>
    <row r="789" spans="7:8" ht="29.25" customHeight="1">
      <c r="G789" s="272"/>
      <c r="H789" s="281"/>
    </row>
    <row r="790" spans="7:8" ht="29.25" customHeight="1">
      <c r="G790" s="272"/>
      <c r="H790" s="281"/>
    </row>
    <row r="791" spans="7:8" ht="29.25" customHeight="1">
      <c r="G791" s="272"/>
      <c r="H791" s="281"/>
    </row>
    <row r="792" spans="7:8" ht="29.25" customHeight="1">
      <c r="G792" s="272"/>
      <c r="H792" s="281"/>
    </row>
    <row r="793" spans="7:8" ht="29.25" customHeight="1">
      <c r="G793" s="272"/>
      <c r="H793" s="281"/>
    </row>
    <row r="794" spans="7:8" ht="29.25" customHeight="1">
      <c r="G794" s="272"/>
      <c r="H794" s="281"/>
    </row>
    <row r="795" spans="7:8" ht="29.25" customHeight="1">
      <c r="G795" s="272"/>
      <c r="H795" s="281"/>
    </row>
    <row r="796" spans="7:8" ht="29.25" customHeight="1">
      <c r="G796" s="272"/>
      <c r="H796" s="281"/>
    </row>
    <row r="797" spans="7:8" ht="29.25" customHeight="1">
      <c r="G797" s="272"/>
      <c r="H797" s="281"/>
    </row>
    <row r="798" spans="7:8" ht="29.25" customHeight="1">
      <c r="G798" s="272"/>
      <c r="H798" s="281"/>
    </row>
    <row r="799" spans="7:8" ht="29.25" customHeight="1">
      <c r="G799" s="272"/>
      <c r="H799" s="281"/>
    </row>
    <row r="800" spans="7:8" ht="29.25" customHeight="1">
      <c r="G800" s="272"/>
      <c r="H800" s="281"/>
    </row>
    <row r="801" spans="7:8" ht="29.25" customHeight="1">
      <c r="G801" s="272"/>
      <c r="H801" s="281"/>
    </row>
    <row r="802" spans="7:8" ht="29.25" customHeight="1">
      <c r="G802" s="272"/>
      <c r="H802" s="281"/>
    </row>
    <row r="803" spans="7:8" ht="29.25" customHeight="1">
      <c r="G803" s="272"/>
      <c r="H803" s="281"/>
    </row>
    <row r="804" spans="7:8" ht="29.25" customHeight="1">
      <c r="G804" s="272"/>
      <c r="H804" s="281"/>
    </row>
    <row r="805" spans="7:8" ht="29.25" customHeight="1">
      <c r="G805" s="272"/>
      <c r="H805" s="281"/>
    </row>
    <row r="806" spans="7:8" ht="29.25" customHeight="1">
      <c r="G806" s="272"/>
      <c r="H806" s="281"/>
    </row>
    <row r="807" spans="7:8" ht="29.25" customHeight="1">
      <c r="G807" s="272"/>
      <c r="H807" s="281"/>
    </row>
    <row r="808" spans="7:8" ht="29.25" customHeight="1">
      <c r="G808" s="272"/>
      <c r="H808" s="281"/>
    </row>
    <row r="809" spans="7:8" ht="29.25" customHeight="1">
      <c r="G809" s="272"/>
      <c r="H809" s="281"/>
    </row>
    <row r="810" spans="7:8" ht="29.25" customHeight="1">
      <c r="G810" s="272"/>
      <c r="H810" s="281"/>
    </row>
    <row r="811" spans="7:8" ht="29.25" customHeight="1">
      <c r="G811" s="272"/>
      <c r="H811" s="281"/>
    </row>
    <row r="812" spans="7:8" ht="29.25" customHeight="1">
      <c r="G812" s="272"/>
      <c r="H812" s="281"/>
    </row>
    <row r="813" spans="7:8" ht="29.25" customHeight="1">
      <c r="G813" s="272"/>
      <c r="H813" s="281"/>
    </row>
    <row r="814" spans="7:8" ht="29.25" customHeight="1">
      <c r="G814" s="272"/>
      <c r="H814" s="281"/>
    </row>
    <row r="815" spans="7:8" ht="29.25" customHeight="1">
      <c r="G815" s="272"/>
      <c r="H815" s="281"/>
    </row>
    <row r="816" spans="7:8" ht="29.25" customHeight="1">
      <c r="G816" s="272"/>
      <c r="H816" s="281"/>
    </row>
    <row r="817" spans="7:8" ht="29.25" customHeight="1">
      <c r="G817" s="272"/>
      <c r="H817" s="281"/>
    </row>
    <row r="818" spans="7:8" ht="29.25" customHeight="1">
      <c r="G818" s="272"/>
      <c r="H818" s="281"/>
    </row>
    <row r="819" spans="7:8" ht="29.25" customHeight="1">
      <c r="G819" s="272"/>
      <c r="H819" s="281"/>
    </row>
    <row r="820" spans="7:8" ht="29.25" customHeight="1">
      <c r="G820" s="272"/>
      <c r="H820" s="281"/>
    </row>
    <row r="821" spans="7:8" ht="29.25" customHeight="1">
      <c r="G821" s="272"/>
      <c r="H821" s="281"/>
    </row>
    <row r="822" spans="7:8" ht="29.25" customHeight="1">
      <c r="G822" s="272"/>
      <c r="H822" s="281"/>
    </row>
    <row r="823" spans="7:8" ht="29.25" customHeight="1">
      <c r="G823" s="272"/>
      <c r="H823" s="281"/>
    </row>
    <row r="824" spans="7:8" ht="29.25" customHeight="1">
      <c r="G824" s="272"/>
      <c r="H824" s="281"/>
    </row>
    <row r="825" spans="7:8" ht="29.25" customHeight="1">
      <c r="G825" s="272"/>
      <c r="H825" s="281"/>
    </row>
    <row r="826" spans="7:8" ht="29.25" customHeight="1">
      <c r="G826" s="272"/>
      <c r="H826" s="281"/>
    </row>
    <row r="827" spans="7:8" ht="29.25" customHeight="1">
      <c r="G827" s="272"/>
      <c r="H827" s="281"/>
    </row>
    <row r="828" spans="7:8" ht="29.25" customHeight="1">
      <c r="G828" s="272"/>
      <c r="H828" s="281"/>
    </row>
    <row r="829" spans="7:8" ht="29.25" customHeight="1">
      <c r="G829" s="272"/>
      <c r="H829" s="281"/>
    </row>
    <row r="830" spans="7:8" ht="29.25" customHeight="1">
      <c r="G830" s="272"/>
      <c r="H830" s="281"/>
    </row>
    <row r="831" spans="7:8" ht="29.25" customHeight="1">
      <c r="G831" s="272"/>
      <c r="H831" s="281"/>
    </row>
    <row r="832" spans="7:8" ht="29.25" customHeight="1">
      <c r="G832" s="272"/>
      <c r="H832" s="281"/>
    </row>
    <row r="833" spans="7:8" ht="29.25" customHeight="1">
      <c r="G833" s="272"/>
      <c r="H833" s="281"/>
    </row>
    <row r="834" spans="7:8" ht="29.25" customHeight="1">
      <c r="G834" s="272"/>
      <c r="H834" s="281"/>
    </row>
    <row r="835" spans="7:8" ht="29.25" customHeight="1">
      <c r="G835" s="272"/>
      <c r="H835" s="281"/>
    </row>
    <row r="836" spans="7:8" ht="29.25" customHeight="1">
      <c r="G836" s="272"/>
      <c r="H836" s="281"/>
    </row>
    <row r="837" spans="7:8" ht="29.25" customHeight="1">
      <c r="G837" s="272"/>
      <c r="H837" s="281"/>
    </row>
    <row r="838" spans="7:8" ht="29.25" customHeight="1">
      <c r="G838" s="272"/>
      <c r="H838" s="281"/>
    </row>
    <row r="839" spans="7:8" ht="29.25" customHeight="1">
      <c r="G839" s="272"/>
      <c r="H839" s="281"/>
    </row>
    <row r="840" spans="7:8" ht="29.25" customHeight="1">
      <c r="G840" s="272"/>
      <c r="H840" s="281"/>
    </row>
    <row r="841" spans="7:8" ht="29.25" customHeight="1">
      <c r="G841" s="272"/>
      <c r="H841" s="281"/>
    </row>
    <row r="842" spans="7:8" ht="29.25" customHeight="1">
      <c r="G842" s="272"/>
      <c r="H842" s="281"/>
    </row>
    <row r="843" spans="7:8" ht="29.25" customHeight="1">
      <c r="G843" s="272"/>
      <c r="H843" s="281"/>
    </row>
    <row r="844" spans="7:8" ht="29.25" customHeight="1">
      <c r="G844" s="272"/>
      <c r="H844" s="281"/>
    </row>
    <row r="845" spans="7:8" ht="29.25" customHeight="1">
      <c r="G845" s="272"/>
      <c r="H845" s="281"/>
    </row>
    <row r="846" spans="7:8" ht="29.25" customHeight="1">
      <c r="G846" s="272"/>
      <c r="H846" s="281"/>
    </row>
    <row r="847" spans="7:8" ht="29.25" customHeight="1">
      <c r="G847" s="272"/>
      <c r="H847" s="281"/>
    </row>
    <row r="848" spans="7:8" ht="29.25" customHeight="1">
      <c r="G848" s="272"/>
      <c r="H848" s="281"/>
    </row>
    <row r="849" spans="7:8" ht="29.25" customHeight="1">
      <c r="G849" s="272"/>
      <c r="H849" s="281"/>
    </row>
    <row r="850" spans="7:8" ht="29.25" customHeight="1">
      <c r="G850" s="272"/>
      <c r="H850" s="281"/>
    </row>
    <row r="851" spans="7:8" ht="29.25" customHeight="1">
      <c r="G851" s="272"/>
      <c r="H851" s="281"/>
    </row>
    <row r="852" spans="7:8" ht="29.25" customHeight="1">
      <c r="G852" s="272"/>
      <c r="H852" s="281"/>
    </row>
    <row r="853" spans="7:8" ht="29.25" customHeight="1">
      <c r="G853" s="272"/>
      <c r="H853" s="281"/>
    </row>
    <row r="854" spans="7:8" ht="29.25" customHeight="1">
      <c r="G854" s="272"/>
      <c r="H854" s="281"/>
    </row>
    <row r="855" spans="7:8" ht="29.25" customHeight="1">
      <c r="G855" s="272"/>
      <c r="H855" s="281"/>
    </row>
    <row r="856" spans="7:8" ht="29.25" customHeight="1">
      <c r="G856" s="272"/>
      <c r="H856" s="281"/>
    </row>
    <row r="857" spans="7:8" ht="29.25" customHeight="1">
      <c r="G857" s="272"/>
      <c r="H857" s="281"/>
    </row>
    <row r="858" spans="7:8" ht="29.25" customHeight="1">
      <c r="G858" s="272"/>
      <c r="H858" s="281"/>
    </row>
    <row r="859" spans="7:8" ht="29.25" customHeight="1">
      <c r="G859" s="272"/>
      <c r="H859" s="281"/>
    </row>
    <row r="860" spans="7:8" ht="29.25" customHeight="1">
      <c r="G860" s="272"/>
      <c r="H860" s="281"/>
    </row>
    <row r="861" spans="7:8" ht="29.25" customHeight="1">
      <c r="G861" s="272"/>
      <c r="H861" s="281"/>
    </row>
    <row r="862" spans="7:8" ht="29.25" customHeight="1">
      <c r="G862" s="272"/>
      <c r="H862" s="281"/>
    </row>
    <row r="863" spans="7:8" ht="29.25" customHeight="1">
      <c r="G863" s="272"/>
      <c r="H863" s="281"/>
    </row>
    <row r="864" spans="7:8" ht="29.25" customHeight="1">
      <c r="G864" s="272"/>
      <c r="H864" s="281"/>
    </row>
    <row r="865" spans="7:8" ht="29.25" customHeight="1">
      <c r="G865" s="272"/>
      <c r="H865" s="281"/>
    </row>
    <row r="866" spans="7:8" ht="29.25" customHeight="1">
      <c r="G866" s="272"/>
      <c r="H866" s="281"/>
    </row>
    <row r="867" spans="7:8" ht="29.25" customHeight="1">
      <c r="G867" s="272"/>
      <c r="H867" s="281"/>
    </row>
    <row r="868" spans="7:8" ht="29.25" customHeight="1">
      <c r="G868" s="272"/>
      <c r="H868" s="281"/>
    </row>
    <row r="869" spans="7:8" ht="29.25" customHeight="1">
      <c r="G869" s="272"/>
      <c r="H869" s="281"/>
    </row>
    <row r="870" spans="7:8" ht="29.25" customHeight="1">
      <c r="G870" s="272"/>
      <c r="H870" s="281"/>
    </row>
    <row r="871" spans="7:8" ht="29.25" customHeight="1">
      <c r="G871" s="272"/>
      <c r="H871" s="281"/>
    </row>
    <row r="872" spans="7:8" ht="29.25" customHeight="1">
      <c r="G872" s="272"/>
      <c r="H872" s="281"/>
    </row>
    <row r="873" spans="7:8" ht="29.25" customHeight="1">
      <c r="G873" s="272"/>
      <c r="H873" s="281"/>
    </row>
    <row r="874" spans="7:8" ht="29.25" customHeight="1">
      <c r="G874" s="272"/>
      <c r="H874" s="281"/>
    </row>
    <row r="875" spans="7:8" ht="29.25" customHeight="1">
      <c r="G875" s="272"/>
      <c r="H875" s="281"/>
    </row>
    <row r="876" spans="7:8" ht="29.25" customHeight="1">
      <c r="G876" s="272"/>
      <c r="H876" s="281"/>
    </row>
    <row r="877" spans="7:8" ht="29.25" customHeight="1">
      <c r="G877" s="272"/>
      <c r="H877" s="281"/>
    </row>
    <row r="878" spans="7:8" ht="29.25" customHeight="1">
      <c r="G878" s="272"/>
      <c r="H878" s="281"/>
    </row>
    <row r="879" spans="7:8" ht="29.25" customHeight="1">
      <c r="G879" s="272"/>
      <c r="H879" s="281"/>
    </row>
    <row r="880" spans="7:8" ht="29.25" customHeight="1">
      <c r="G880" s="272"/>
      <c r="H880" s="281"/>
    </row>
    <row r="881" spans="7:8" ht="29.25" customHeight="1">
      <c r="G881" s="272"/>
      <c r="H881" s="281"/>
    </row>
    <row r="882" spans="7:8" ht="29.25" customHeight="1">
      <c r="G882" s="272"/>
      <c r="H882" s="281"/>
    </row>
    <row r="883" spans="7:8" ht="29.25" customHeight="1">
      <c r="G883" s="272"/>
      <c r="H883" s="281"/>
    </row>
    <row r="884" spans="7:8" ht="29.25" customHeight="1">
      <c r="G884" s="272"/>
      <c r="H884" s="281"/>
    </row>
    <row r="885" spans="7:8" ht="29.25" customHeight="1">
      <c r="G885" s="272"/>
      <c r="H885" s="281"/>
    </row>
    <row r="886" spans="7:8" ht="29.25" customHeight="1">
      <c r="G886" s="272"/>
      <c r="H886" s="281"/>
    </row>
    <row r="887" spans="7:8" ht="29.25" customHeight="1">
      <c r="G887" s="272"/>
      <c r="H887" s="281"/>
    </row>
    <row r="888" spans="7:8" ht="29.25" customHeight="1">
      <c r="G888" s="272"/>
      <c r="H888" s="281"/>
    </row>
    <row r="889" spans="7:8" ht="29.25" customHeight="1">
      <c r="G889" s="272"/>
      <c r="H889" s="281"/>
    </row>
    <row r="890" spans="7:8" ht="29.25" customHeight="1">
      <c r="G890" s="272"/>
      <c r="H890" s="281"/>
    </row>
    <row r="891" spans="7:8" ht="29.25" customHeight="1">
      <c r="G891" s="272"/>
      <c r="H891" s="281"/>
    </row>
    <row r="892" spans="7:8" ht="29.25" customHeight="1">
      <c r="G892" s="272"/>
      <c r="H892" s="281"/>
    </row>
    <row r="893" spans="7:8" ht="29.25" customHeight="1">
      <c r="G893" s="272"/>
      <c r="H893" s="281"/>
    </row>
    <row r="894" spans="7:8" ht="29.25" customHeight="1">
      <c r="G894" s="272"/>
      <c r="H894" s="281"/>
    </row>
    <row r="895" spans="7:8" ht="29.25" customHeight="1">
      <c r="G895" s="272"/>
      <c r="H895" s="281"/>
    </row>
    <row r="896" spans="7:8" ht="29.25" customHeight="1">
      <c r="G896" s="272"/>
      <c r="H896" s="281"/>
    </row>
    <row r="897" spans="7:8" ht="29.25" customHeight="1">
      <c r="G897" s="272"/>
      <c r="H897" s="281"/>
    </row>
    <row r="898" spans="7:8" ht="29.25" customHeight="1">
      <c r="G898" s="272"/>
      <c r="H898" s="281"/>
    </row>
    <row r="899" spans="7:8" ht="29.25" customHeight="1">
      <c r="G899" s="272"/>
      <c r="H899" s="281"/>
    </row>
    <row r="900" spans="7:8" ht="29.25" customHeight="1">
      <c r="G900" s="272"/>
      <c r="H900" s="281"/>
    </row>
    <row r="901" spans="7:8" ht="29.25" customHeight="1">
      <c r="G901" s="272"/>
      <c r="H901" s="281"/>
    </row>
    <row r="902" spans="7:8" ht="29.25" customHeight="1">
      <c r="G902" s="272"/>
      <c r="H902" s="281"/>
    </row>
    <row r="903" spans="7:8" ht="29.25" customHeight="1">
      <c r="G903" s="272"/>
      <c r="H903" s="281"/>
    </row>
    <row r="904" spans="7:8" ht="29.25" customHeight="1">
      <c r="G904" s="272"/>
      <c r="H904" s="281"/>
    </row>
    <row r="905" spans="7:8" ht="29.25" customHeight="1">
      <c r="G905" s="272"/>
      <c r="H905" s="281"/>
    </row>
    <row r="906" spans="7:8" ht="29.25" customHeight="1">
      <c r="G906" s="272"/>
      <c r="H906" s="281"/>
    </row>
    <row r="907" spans="7:8" ht="29.25" customHeight="1">
      <c r="G907" s="272"/>
      <c r="H907" s="281"/>
    </row>
    <row r="908" spans="7:8" ht="29.25" customHeight="1">
      <c r="G908" s="272"/>
      <c r="H908" s="281"/>
    </row>
    <row r="909" spans="7:8" ht="29.25" customHeight="1">
      <c r="G909" s="272"/>
      <c r="H909" s="281"/>
    </row>
    <row r="910" spans="7:8" ht="29.25" customHeight="1">
      <c r="G910" s="272"/>
      <c r="H910" s="281"/>
    </row>
    <row r="911" spans="7:8" ht="29.25" customHeight="1">
      <c r="G911" s="272"/>
      <c r="H911" s="281"/>
    </row>
    <row r="912" spans="7:8" ht="29.25" customHeight="1">
      <c r="G912" s="272"/>
      <c r="H912" s="281"/>
    </row>
    <row r="913" spans="7:8" ht="29.25" customHeight="1">
      <c r="G913" s="272"/>
      <c r="H913" s="281"/>
    </row>
    <row r="914" spans="7:8" ht="29.25" customHeight="1">
      <c r="G914" s="272"/>
      <c r="H914" s="281"/>
    </row>
    <row r="915" spans="7:8" ht="29.25" customHeight="1">
      <c r="G915" s="272"/>
      <c r="H915" s="281"/>
    </row>
    <row r="916" spans="7:8" ht="29.25" customHeight="1">
      <c r="G916" s="272"/>
      <c r="H916" s="281"/>
    </row>
    <row r="917" spans="7:8" ht="29.25" customHeight="1">
      <c r="G917" s="272"/>
      <c r="H917" s="281"/>
    </row>
    <row r="918" spans="7:8" ht="29.25" customHeight="1">
      <c r="G918" s="272"/>
      <c r="H918" s="281"/>
    </row>
    <row r="919" spans="7:8" ht="29.25" customHeight="1">
      <c r="G919" s="272"/>
      <c r="H919" s="281"/>
    </row>
    <row r="920" spans="7:8" ht="29.25" customHeight="1">
      <c r="G920" s="272"/>
      <c r="H920" s="281"/>
    </row>
    <row r="921" spans="7:8" ht="29.25" customHeight="1">
      <c r="G921" s="272"/>
      <c r="H921" s="281"/>
    </row>
    <row r="922" spans="7:8" ht="29.25" customHeight="1">
      <c r="G922" s="272"/>
      <c r="H922" s="281"/>
    </row>
    <row r="923" spans="7:8" ht="29.25" customHeight="1">
      <c r="G923" s="272"/>
      <c r="H923" s="281"/>
    </row>
    <row r="924" spans="7:8" ht="29.25" customHeight="1">
      <c r="G924" s="272"/>
      <c r="H924" s="281"/>
    </row>
    <row r="925" spans="7:8" ht="29.25" customHeight="1">
      <c r="G925" s="272"/>
      <c r="H925" s="281"/>
    </row>
    <row r="926" spans="7:8" ht="29.25" customHeight="1">
      <c r="G926" s="272"/>
      <c r="H926" s="281"/>
    </row>
    <row r="927" spans="7:8" ht="29.25" customHeight="1">
      <c r="G927" s="272"/>
      <c r="H927" s="281"/>
    </row>
    <row r="928" spans="7:8" ht="29.25" customHeight="1">
      <c r="G928" s="272"/>
      <c r="H928" s="281"/>
    </row>
    <row r="929" spans="7:8" ht="29.25" customHeight="1">
      <c r="G929" s="272"/>
      <c r="H929" s="281"/>
    </row>
    <row r="930" spans="7:8" ht="29.25" customHeight="1">
      <c r="G930" s="272"/>
      <c r="H930" s="281"/>
    </row>
    <row r="931" spans="7:8" ht="29.25" customHeight="1">
      <c r="G931" s="272"/>
      <c r="H931" s="281"/>
    </row>
    <row r="932" spans="7:8" ht="29.25" customHeight="1">
      <c r="G932" s="272"/>
      <c r="H932" s="281"/>
    </row>
    <row r="933" spans="7:8" ht="29.25" customHeight="1">
      <c r="G933" s="272"/>
      <c r="H933" s="281"/>
    </row>
    <row r="934" spans="7:8" ht="29.25" customHeight="1">
      <c r="G934" s="272"/>
      <c r="H934" s="281"/>
    </row>
    <row r="935" spans="7:8" ht="29.25" customHeight="1">
      <c r="G935" s="272"/>
      <c r="H935" s="281"/>
    </row>
    <row r="936" spans="7:8" ht="29.25" customHeight="1">
      <c r="G936" s="272"/>
      <c r="H936" s="281"/>
    </row>
    <row r="937" spans="7:8" ht="29.25" customHeight="1">
      <c r="G937" s="272"/>
      <c r="H937" s="281"/>
    </row>
    <row r="938" spans="7:8" ht="29.25" customHeight="1">
      <c r="G938" s="272"/>
      <c r="H938" s="281"/>
    </row>
    <row r="939" spans="7:8" ht="29.25" customHeight="1">
      <c r="G939" s="272"/>
      <c r="H939" s="281"/>
    </row>
    <row r="940" spans="7:8" ht="29.25" customHeight="1">
      <c r="G940" s="272"/>
      <c r="H940" s="281"/>
    </row>
    <row r="941" spans="7:8" ht="29.25" customHeight="1">
      <c r="G941" s="272"/>
      <c r="H941" s="281"/>
    </row>
    <row r="942" spans="7:8" ht="29.25" customHeight="1">
      <c r="G942" s="272"/>
      <c r="H942" s="281"/>
    </row>
    <row r="943" spans="7:8" ht="29.25" customHeight="1">
      <c r="G943" s="272"/>
      <c r="H943" s="281"/>
    </row>
    <row r="944" spans="7:8" ht="29.25" customHeight="1">
      <c r="G944" s="272"/>
      <c r="H944" s="281"/>
    </row>
    <row r="945" spans="7:8" ht="29.25" customHeight="1">
      <c r="G945" s="272"/>
      <c r="H945" s="281"/>
    </row>
    <row r="946" spans="7:8" ht="29.25" customHeight="1">
      <c r="G946" s="272"/>
      <c r="H946" s="281"/>
    </row>
    <row r="947" spans="7:8" ht="29.25" customHeight="1">
      <c r="G947" s="272"/>
      <c r="H947" s="281"/>
    </row>
    <row r="948" spans="7:8" ht="29.25" customHeight="1">
      <c r="G948" s="272"/>
      <c r="H948" s="281"/>
    </row>
    <row r="949" spans="7:8" ht="29.25" customHeight="1">
      <c r="G949" s="272"/>
      <c r="H949" s="281"/>
    </row>
    <row r="950" spans="7:8" ht="29.25" customHeight="1">
      <c r="G950" s="272"/>
      <c r="H950" s="281"/>
    </row>
    <row r="951" spans="7:8" ht="29.25" customHeight="1">
      <c r="G951" s="272"/>
      <c r="H951" s="281"/>
    </row>
    <row r="952" spans="7:8" ht="29.25" customHeight="1">
      <c r="G952" s="272"/>
      <c r="H952" s="281"/>
    </row>
    <row r="953" spans="7:8" ht="29.25" customHeight="1">
      <c r="G953" s="272"/>
      <c r="H953" s="281"/>
    </row>
    <row r="954" spans="7:8" ht="29.25" customHeight="1">
      <c r="G954" s="272"/>
      <c r="H954" s="281"/>
    </row>
    <row r="955" spans="7:8" ht="29.25" customHeight="1">
      <c r="G955" s="272"/>
      <c r="H955" s="281"/>
    </row>
    <row r="956" spans="7:8" ht="29.25" customHeight="1">
      <c r="G956" s="272"/>
      <c r="H956" s="281"/>
    </row>
    <row r="957" spans="7:8" ht="29.25" customHeight="1">
      <c r="G957" s="272"/>
      <c r="H957" s="281"/>
    </row>
    <row r="958" spans="7:8" ht="29.25" customHeight="1">
      <c r="G958" s="272"/>
      <c r="H958" s="281"/>
    </row>
    <row r="959" spans="7:8" ht="29.25" customHeight="1">
      <c r="G959" s="272"/>
      <c r="H959" s="281"/>
    </row>
    <row r="960" spans="7:8" ht="29.25" customHeight="1">
      <c r="G960" s="272"/>
      <c r="H960" s="281"/>
    </row>
    <row r="961" spans="7:8" ht="29.25" customHeight="1">
      <c r="G961" s="272"/>
      <c r="H961" s="281"/>
    </row>
    <row r="962" spans="7:8" ht="29.25" customHeight="1">
      <c r="G962" s="272"/>
      <c r="H962" s="281"/>
    </row>
    <row r="963" spans="7:8" ht="29.25" customHeight="1">
      <c r="G963" s="272"/>
      <c r="H963" s="281"/>
    </row>
    <row r="964" spans="7:8" ht="29.25" customHeight="1">
      <c r="G964" s="272"/>
      <c r="H964" s="281"/>
    </row>
    <row r="965" spans="7:8" ht="29.25" customHeight="1">
      <c r="G965" s="272"/>
      <c r="H965" s="281"/>
    </row>
    <row r="966" spans="7:8" ht="29.25" customHeight="1">
      <c r="G966" s="272"/>
      <c r="H966" s="281"/>
    </row>
    <row r="967" spans="7:8" ht="29.25" customHeight="1">
      <c r="G967" s="272"/>
      <c r="H967" s="281"/>
    </row>
    <row r="968" spans="7:8" ht="29.25" customHeight="1">
      <c r="G968" s="272"/>
      <c r="H968" s="281"/>
    </row>
    <row r="969" spans="7:8" ht="29.25" customHeight="1">
      <c r="G969" s="272"/>
      <c r="H969" s="281"/>
    </row>
    <row r="970" spans="7:8" ht="29.25" customHeight="1">
      <c r="G970" s="272"/>
      <c r="H970" s="281"/>
    </row>
    <row r="971" spans="7:8" ht="29.25" customHeight="1">
      <c r="G971" s="272"/>
      <c r="H971" s="281"/>
    </row>
    <row r="972" spans="7:8" ht="29.25" customHeight="1">
      <c r="G972" s="272"/>
      <c r="H972" s="281"/>
    </row>
    <row r="973" spans="7:8" ht="29.25" customHeight="1">
      <c r="G973" s="272"/>
      <c r="H973" s="281"/>
    </row>
    <row r="974" spans="7:8" ht="29.25" customHeight="1">
      <c r="G974" s="272"/>
      <c r="H974" s="281"/>
    </row>
    <row r="975" spans="7:8" ht="29.25" customHeight="1">
      <c r="G975" s="272"/>
      <c r="H975" s="281"/>
    </row>
    <row r="976" spans="7:8" ht="29.25" customHeight="1">
      <c r="G976" s="272"/>
      <c r="H976" s="281"/>
    </row>
    <row r="977" spans="7:8" ht="29.25" customHeight="1">
      <c r="G977" s="272"/>
      <c r="H977" s="281"/>
    </row>
    <row r="978" spans="7:8" ht="29.25" customHeight="1">
      <c r="G978" s="272"/>
      <c r="H978" s="281"/>
    </row>
    <row r="979" spans="7:8" ht="29.25" customHeight="1">
      <c r="G979" s="272"/>
      <c r="H979" s="281"/>
    </row>
    <row r="980" spans="7:8" ht="29.25" customHeight="1">
      <c r="G980" s="272"/>
      <c r="H980" s="281"/>
    </row>
    <row r="981" spans="7:8" ht="29.25" customHeight="1">
      <c r="G981" s="272"/>
      <c r="H981" s="281"/>
    </row>
    <row r="982" spans="7:8" ht="29.25" customHeight="1">
      <c r="G982" s="272"/>
      <c r="H982" s="281"/>
    </row>
    <row r="983" spans="7:8" ht="29.25" customHeight="1">
      <c r="G983" s="272"/>
      <c r="H983" s="281"/>
    </row>
    <row r="984" spans="7:8" ht="29.25" customHeight="1">
      <c r="G984" s="272"/>
      <c r="H984" s="281"/>
    </row>
    <row r="985" spans="7:8" ht="29.25" customHeight="1">
      <c r="G985" s="272"/>
      <c r="H985" s="281"/>
    </row>
    <row r="986" spans="7:8" ht="29.25" customHeight="1">
      <c r="G986" s="272"/>
      <c r="H986" s="281"/>
    </row>
    <row r="987" spans="7:8" ht="29.25" customHeight="1">
      <c r="G987" s="272"/>
      <c r="H987" s="281"/>
    </row>
    <row r="988" spans="7:8" ht="29.25" customHeight="1">
      <c r="G988" s="272"/>
      <c r="H988" s="281"/>
    </row>
    <row r="989" spans="7:8" ht="29.25" customHeight="1">
      <c r="G989" s="272"/>
      <c r="H989" s="281"/>
    </row>
    <row r="990" spans="7:8" ht="29.25" customHeight="1">
      <c r="G990" s="272"/>
      <c r="H990" s="281"/>
    </row>
    <row r="991" spans="7:8" ht="29.25" customHeight="1">
      <c r="G991" s="272"/>
      <c r="H991" s="281"/>
    </row>
    <row r="992" spans="7:8" ht="29.25" customHeight="1">
      <c r="G992" s="272"/>
      <c r="H992" s="281"/>
    </row>
    <row r="993" spans="7:8" ht="29.25" customHeight="1">
      <c r="G993" s="272"/>
      <c r="H993" s="281"/>
    </row>
    <row r="994" spans="7:8" ht="29.25" customHeight="1">
      <c r="G994" s="272"/>
      <c r="H994" s="281"/>
    </row>
    <row r="995" spans="7:8" ht="15" customHeight="1">
      <c r="H995" s="281"/>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E590-7088-41F7-A7F3-231615A4DE20}">
  <sheetPr>
    <tabColor rgb="FFFF6699"/>
  </sheetPr>
  <dimension ref="A1:U986"/>
  <sheetViews>
    <sheetView topLeftCell="D3" zoomScale="70" zoomScaleNormal="70" workbookViewId="0">
      <selection activeCell="D4" sqref="D4"/>
    </sheetView>
  </sheetViews>
  <sheetFormatPr defaultColWidth="12.5546875" defaultRowHeight="99" customHeight="1"/>
  <cols>
    <col min="1" max="1" width="12.109375" style="264" bestFit="1" customWidth="1"/>
    <col min="2" max="2" width="19.33203125" style="264" customWidth="1"/>
    <col min="3" max="3" width="160.6640625" style="271" customWidth="1"/>
    <col min="4" max="4" width="24" style="264" customWidth="1"/>
    <col min="5" max="5" width="42.6640625" style="264" customWidth="1"/>
    <col min="6" max="6" width="80.6640625" style="264" customWidth="1"/>
    <col min="7" max="7" width="19.5546875" style="319" customWidth="1"/>
    <col min="8" max="8" width="12.109375" style="282" bestFit="1" customWidth="1"/>
    <col min="9" max="9" width="36.5546875" style="281" bestFit="1" customWidth="1"/>
    <col min="10" max="10" width="47.77734375" style="281" bestFit="1" customWidth="1"/>
    <col min="11" max="11" width="152.77734375" style="264" customWidth="1"/>
    <col min="12" max="12" width="34.5546875" style="281" customWidth="1"/>
    <col min="13" max="13" width="24.88671875" style="281" bestFit="1" customWidth="1"/>
    <col min="14" max="14" width="37" style="264" bestFit="1" customWidth="1"/>
    <col min="15" max="16384" width="12.5546875" style="264"/>
  </cols>
  <sheetData>
    <row r="1" spans="1:21" ht="99" customHeight="1">
      <c r="A1" s="439" t="s">
        <v>0</v>
      </c>
      <c r="B1" s="439" t="s">
        <v>1190</v>
      </c>
      <c r="C1" s="439" t="s">
        <v>771</v>
      </c>
      <c r="D1" s="439" t="s">
        <v>770</v>
      </c>
      <c r="E1" s="439" t="s">
        <v>902</v>
      </c>
      <c r="F1" s="439" t="s">
        <v>4</v>
      </c>
      <c r="G1" s="441" t="s">
        <v>535</v>
      </c>
      <c r="H1" s="341" t="s">
        <v>11</v>
      </c>
      <c r="I1" s="342" t="s">
        <v>652</v>
      </c>
      <c r="J1" s="341" t="s">
        <v>537</v>
      </c>
      <c r="K1" s="341" t="s">
        <v>544</v>
      </c>
      <c r="L1" s="341" t="s">
        <v>653</v>
      </c>
      <c r="M1" s="475" t="s">
        <v>545</v>
      </c>
      <c r="N1" s="477"/>
      <c r="O1" s="258"/>
      <c r="P1" s="258"/>
      <c r="Q1" s="258"/>
      <c r="R1" s="258"/>
      <c r="S1" s="258"/>
      <c r="T1" s="258"/>
      <c r="U1" s="258"/>
    </row>
    <row r="2" spans="1:21" s="292" customFormat="1" ht="99" customHeight="1">
      <c r="A2" s="446">
        <v>1</v>
      </c>
      <c r="B2" s="446" t="s">
        <v>1322</v>
      </c>
      <c r="C2" s="454" t="s">
        <v>1323</v>
      </c>
      <c r="D2" s="446" t="s">
        <v>1420</v>
      </c>
      <c r="E2" s="446" t="s">
        <v>1324</v>
      </c>
      <c r="F2" s="446" t="s">
        <v>517</v>
      </c>
      <c r="G2" s="455">
        <v>80000</v>
      </c>
      <c r="H2" s="446" t="s">
        <v>503</v>
      </c>
      <c r="I2" s="443" t="s">
        <v>1467</v>
      </c>
      <c r="J2" s="443"/>
      <c r="K2" s="448" t="s">
        <v>1466</v>
      </c>
      <c r="L2" s="443" t="s">
        <v>988</v>
      </c>
      <c r="M2" s="443"/>
      <c r="N2" s="476" t="s">
        <v>1468</v>
      </c>
      <c r="O2" s="291"/>
      <c r="P2" s="291"/>
      <c r="Q2" s="291"/>
      <c r="R2" s="291"/>
      <c r="S2" s="291"/>
      <c r="T2" s="291"/>
      <c r="U2" s="291"/>
    </row>
    <row r="3" spans="1:21" s="292" customFormat="1" ht="99" customHeight="1">
      <c r="A3" s="446">
        <v>2</v>
      </c>
      <c r="B3" s="446" t="s">
        <v>1325</v>
      </c>
      <c r="C3" s="456" t="s">
        <v>1326</v>
      </c>
      <c r="D3" s="446" t="s">
        <v>1420</v>
      </c>
      <c r="E3" s="446" t="s">
        <v>1327</v>
      </c>
      <c r="F3" s="446" t="s">
        <v>517</v>
      </c>
      <c r="G3" s="455">
        <v>80000</v>
      </c>
      <c r="H3" s="446" t="s">
        <v>503</v>
      </c>
      <c r="I3" s="443" t="s">
        <v>1469</v>
      </c>
      <c r="J3" s="443"/>
      <c r="K3" s="448" t="s">
        <v>1465</v>
      </c>
      <c r="L3" s="443" t="s">
        <v>988</v>
      </c>
      <c r="M3" s="443"/>
      <c r="N3" s="448"/>
      <c r="O3" s="291"/>
      <c r="P3" s="291"/>
      <c r="Q3" s="291"/>
      <c r="R3" s="291"/>
      <c r="S3" s="291"/>
      <c r="T3" s="291"/>
      <c r="U3" s="291"/>
    </row>
    <row r="4" spans="1:21" s="292" customFormat="1" ht="99" customHeight="1">
      <c r="A4" s="446">
        <v>3</v>
      </c>
      <c r="B4" s="446" t="s">
        <v>1328</v>
      </c>
      <c r="C4" s="456" t="s">
        <v>1329</v>
      </c>
      <c r="D4" s="446" t="s">
        <v>1420</v>
      </c>
      <c r="E4" s="446" t="s">
        <v>1330</v>
      </c>
      <c r="F4" s="446" t="s">
        <v>517</v>
      </c>
      <c r="G4" s="455">
        <v>80000</v>
      </c>
      <c r="H4" s="446" t="s">
        <v>503</v>
      </c>
      <c r="I4" s="453" t="s">
        <v>1464</v>
      </c>
      <c r="J4" s="443"/>
      <c r="K4" s="447" t="s">
        <v>1461</v>
      </c>
      <c r="L4" s="443" t="s">
        <v>988</v>
      </c>
      <c r="M4" s="443"/>
      <c r="N4" s="448"/>
      <c r="O4" s="291"/>
      <c r="P4" s="291"/>
      <c r="Q4" s="291"/>
      <c r="R4" s="291"/>
      <c r="S4" s="291"/>
      <c r="T4" s="291"/>
      <c r="U4" s="291"/>
    </row>
    <row r="5" spans="1:21" s="265" customFormat="1" ht="99" customHeight="1">
      <c r="A5" s="442">
        <v>4</v>
      </c>
      <c r="B5" s="442" t="s">
        <v>1331</v>
      </c>
      <c r="C5" s="457" t="s">
        <v>1332</v>
      </c>
      <c r="D5" s="442" t="s">
        <v>1420</v>
      </c>
      <c r="E5" s="442" t="s">
        <v>1333</v>
      </c>
      <c r="F5" s="442" t="s">
        <v>517</v>
      </c>
      <c r="G5" s="458">
        <v>80000</v>
      </c>
      <c r="H5" s="442"/>
      <c r="I5" s="233"/>
      <c r="J5" s="233"/>
      <c r="K5" s="240"/>
      <c r="L5" s="233"/>
      <c r="M5" s="233"/>
      <c r="N5" s="240"/>
      <c r="O5" s="258"/>
      <c r="P5" s="258"/>
      <c r="Q5" s="258"/>
      <c r="R5" s="258"/>
      <c r="S5" s="258"/>
      <c r="T5" s="258"/>
      <c r="U5" s="258"/>
    </row>
    <row r="6" spans="1:21" s="292" customFormat="1" ht="99" customHeight="1">
      <c r="A6" s="446">
        <v>5</v>
      </c>
      <c r="B6" s="446" t="s">
        <v>1334</v>
      </c>
      <c r="C6" s="456" t="s">
        <v>1335</v>
      </c>
      <c r="D6" s="446" t="s">
        <v>1420</v>
      </c>
      <c r="E6" s="446" t="s">
        <v>1336</v>
      </c>
      <c r="F6" s="446" t="s">
        <v>528</v>
      </c>
      <c r="G6" s="455">
        <v>80000</v>
      </c>
      <c r="H6" s="446" t="s">
        <v>503</v>
      </c>
      <c r="I6" s="443" t="s">
        <v>1480</v>
      </c>
      <c r="J6" s="443"/>
      <c r="K6" s="447" t="s">
        <v>1481</v>
      </c>
      <c r="L6" s="443" t="s">
        <v>988</v>
      </c>
      <c r="M6" s="443"/>
      <c r="N6" s="448"/>
      <c r="O6" s="291"/>
      <c r="P6" s="291"/>
      <c r="Q6" s="291"/>
      <c r="R6" s="291"/>
      <c r="S6" s="291"/>
      <c r="T6" s="291"/>
      <c r="U6" s="291"/>
    </row>
    <row r="7" spans="1:21" s="265" customFormat="1" ht="99" customHeight="1">
      <c r="A7" s="442">
        <v>6</v>
      </c>
      <c r="B7" s="442" t="s">
        <v>1337</v>
      </c>
      <c r="C7" s="457" t="s">
        <v>1338</v>
      </c>
      <c r="D7" s="442" t="s">
        <v>1420</v>
      </c>
      <c r="E7" s="442" t="s">
        <v>1339</v>
      </c>
      <c r="F7" s="442" t="s">
        <v>528</v>
      </c>
      <c r="G7" s="458">
        <v>80000</v>
      </c>
      <c r="H7" s="442"/>
      <c r="I7" s="233"/>
      <c r="J7" s="233"/>
      <c r="K7" s="240"/>
      <c r="L7" s="233"/>
      <c r="M7" s="233"/>
      <c r="N7" s="240"/>
      <c r="O7" s="258"/>
      <c r="P7" s="258"/>
      <c r="Q7" s="258"/>
      <c r="R7" s="258"/>
      <c r="S7" s="258"/>
      <c r="T7" s="258"/>
      <c r="U7" s="258"/>
    </row>
    <row r="8" spans="1:21" s="265" customFormat="1" ht="99" customHeight="1">
      <c r="A8" s="442">
        <v>7</v>
      </c>
      <c r="B8" s="442" t="s">
        <v>1340</v>
      </c>
      <c r="C8" s="457" t="s">
        <v>1341</v>
      </c>
      <c r="D8" s="442" t="s">
        <v>1420</v>
      </c>
      <c r="E8" s="442" t="s">
        <v>1342</v>
      </c>
      <c r="F8" s="442" t="s">
        <v>528</v>
      </c>
      <c r="G8" s="458">
        <v>80000</v>
      </c>
      <c r="H8" s="442"/>
      <c r="I8" s="233"/>
      <c r="J8" s="233"/>
      <c r="K8" s="241"/>
      <c r="L8" s="233"/>
      <c r="M8" s="233"/>
      <c r="N8" s="240"/>
      <c r="O8" s="258"/>
      <c r="P8" s="258"/>
      <c r="Q8" s="258"/>
      <c r="R8" s="258"/>
      <c r="S8" s="258"/>
      <c r="T8" s="258"/>
      <c r="U8" s="258"/>
    </row>
    <row r="9" spans="1:21" s="265" customFormat="1" ht="99" customHeight="1">
      <c r="A9" s="442">
        <v>8</v>
      </c>
      <c r="B9" s="442" t="s">
        <v>1343</v>
      </c>
      <c r="C9" s="457" t="s">
        <v>1344</v>
      </c>
      <c r="D9" s="442" t="s">
        <v>1420</v>
      </c>
      <c r="E9" s="442" t="s">
        <v>731</v>
      </c>
      <c r="F9" s="442" t="s">
        <v>528</v>
      </c>
      <c r="G9" s="458">
        <v>80000</v>
      </c>
      <c r="H9" s="442"/>
      <c r="I9" s="233"/>
      <c r="J9" s="233"/>
      <c r="K9" s="240"/>
      <c r="L9" s="233"/>
      <c r="M9" s="233"/>
      <c r="N9" s="240"/>
      <c r="O9" s="258"/>
      <c r="P9" s="258"/>
      <c r="Q9" s="258"/>
      <c r="R9" s="258"/>
      <c r="S9" s="258"/>
      <c r="T9" s="258"/>
      <c r="U9" s="258"/>
    </row>
    <row r="10" spans="1:21" s="265" customFormat="1" ht="99" customHeight="1">
      <c r="A10" s="442">
        <v>9</v>
      </c>
      <c r="B10" s="442" t="s">
        <v>1345</v>
      </c>
      <c r="C10" s="459" t="s">
        <v>1346</v>
      </c>
      <c r="D10" s="442" t="s">
        <v>1420</v>
      </c>
      <c r="E10" s="442" t="s">
        <v>1347</v>
      </c>
      <c r="F10" s="442" t="s">
        <v>528</v>
      </c>
      <c r="G10" s="458">
        <v>80000</v>
      </c>
      <c r="H10" s="442"/>
      <c r="I10" s="233"/>
      <c r="J10" s="233"/>
      <c r="K10" s="240"/>
      <c r="L10" s="233"/>
      <c r="M10" s="233"/>
      <c r="N10" s="240"/>
      <c r="O10" s="258"/>
      <c r="P10" s="258"/>
      <c r="Q10" s="258"/>
      <c r="R10" s="258"/>
      <c r="S10" s="258"/>
      <c r="T10" s="258"/>
      <c r="U10" s="258"/>
    </row>
    <row r="11" spans="1:21" s="292" customFormat="1" ht="99" customHeight="1">
      <c r="A11" s="446">
        <v>10</v>
      </c>
      <c r="B11" s="446" t="s">
        <v>1348</v>
      </c>
      <c r="C11" s="460" t="s">
        <v>1349</v>
      </c>
      <c r="D11" s="446" t="s">
        <v>1420</v>
      </c>
      <c r="E11" s="446" t="s">
        <v>1350</v>
      </c>
      <c r="F11" s="446" t="s">
        <v>528</v>
      </c>
      <c r="G11" s="455">
        <v>80000</v>
      </c>
      <c r="H11" s="446" t="s">
        <v>503</v>
      </c>
      <c r="I11" s="443" t="s">
        <v>1589</v>
      </c>
      <c r="J11" s="443"/>
      <c r="K11" s="448" t="s">
        <v>1590</v>
      </c>
      <c r="L11" s="443" t="s">
        <v>988</v>
      </c>
      <c r="M11" s="443"/>
      <c r="N11" s="448"/>
      <c r="O11" s="291"/>
      <c r="P11" s="291"/>
      <c r="Q11" s="291"/>
      <c r="R11" s="291"/>
      <c r="S11" s="291"/>
      <c r="T11" s="291"/>
      <c r="U11" s="291"/>
    </row>
    <row r="12" spans="1:21" s="334" customFormat="1" ht="99" customHeight="1">
      <c r="A12" s="461">
        <v>11</v>
      </c>
      <c r="B12" s="461" t="s">
        <v>1351</v>
      </c>
      <c r="C12" s="462" t="s">
        <v>1352</v>
      </c>
      <c r="D12" s="461" t="s">
        <v>1420</v>
      </c>
      <c r="E12" s="461" t="s">
        <v>1353</v>
      </c>
      <c r="F12" s="461" t="s">
        <v>528</v>
      </c>
      <c r="G12" s="463">
        <v>80000</v>
      </c>
      <c r="H12" s="464" t="s">
        <v>1581</v>
      </c>
      <c r="I12" s="242" t="s">
        <v>1582</v>
      </c>
      <c r="J12" s="245" t="s">
        <v>1583</v>
      </c>
      <c r="K12" s="248"/>
      <c r="L12" s="242"/>
      <c r="M12" s="242"/>
      <c r="N12" s="248"/>
      <c r="O12" s="333"/>
      <c r="P12" s="333"/>
      <c r="Q12" s="333"/>
      <c r="R12" s="333"/>
      <c r="S12" s="333"/>
      <c r="T12" s="333"/>
      <c r="U12" s="333"/>
    </row>
    <row r="13" spans="1:21" s="265" customFormat="1" ht="99" customHeight="1">
      <c r="A13" s="442">
        <v>12</v>
      </c>
      <c r="B13" s="442" t="s">
        <v>1354</v>
      </c>
      <c r="C13" s="457" t="s">
        <v>1355</v>
      </c>
      <c r="D13" s="442" t="s">
        <v>1420</v>
      </c>
      <c r="E13" s="442" t="s">
        <v>1356</v>
      </c>
      <c r="F13" s="442" t="s">
        <v>528</v>
      </c>
      <c r="G13" s="458">
        <v>80000</v>
      </c>
      <c r="H13" s="442"/>
      <c r="I13" s="233"/>
      <c r="J13" s="233"/>
      <c r="K13" s="240"/>
      <c r="L13" s="233"/>
      <c r="M13" s="233"/>
      <c r="N13" s="240"/>
      <c r="O13" s="258"/>
      <c r="P13" s="258"/>
      <c r="Q13" s="258"/>
      <c r="R13" s="258"/>
      <c r="S13" s="258"/>
      <c r="T13" s="258"/>
      <c r="U13" s="258"/>
    </row>
    <row r="14" spans="1:21" s="292" customFormat="1" ht="99" customHeight="1">
      <c r="A14" s="446">
        <v>13</v>
      </c>
      <c r="B14" s="446" t="s">
        <v>1357</v>
      </c>
      <c r="C14" s="456" t="s">
        <v>1358</v>
      </c>
      <c r="D14" s="446" t="s">
        <v>1420</v>
      </c>
      <c r="E14" s="446" t="s">
        <v>1359</v>
      </c>
      <c r="F14" s="446" t="s">
        <v>1360</v>
      </c>
      <c r="G14" s="455">
        <v>75000</v>
      </c>
      <c r="H14" s="446" t="s">
        <v>503</v>
      </c>
      <c r="I14" s="443" t="s">
        <v>1483</v>
      </c>
      <c r="J14" s="443"/>
      <c r="K14" s="447" t="s">
        <v>1482</v>
      </c>
      <c r="L14" s="443" t="s">
        <v>988</v>
      </c>
      <c r="M14" s="443"/>
      <c r="N14" s="448"/>
      <c r="O14" s="291"/>
      <c r="P14" s="291"/>
      <c r="Q14" s="291"/>
      <c r="R14" s="291"/>
      <c r="S14" s="291"/>
      <c r="T14" s="291"/>
      <c r="U14" s="291"/>
    </row>
    <row r="15" spans="1:21" s="265" customFormat="1" ht="99" customHeight="1">
      <c r="A15" s="442">
        <v>14</v>
      </c>
      <c r="B15" s="442" t="s">
        <v>1361</v>
      </c>
      <c r="C15" s="465" t="s">
        <v>1362</v>
      </c>
      <c r="D15" s="442" t="s">
        <v>1420</v>
      </c>
      <c r="E15" s="442" t="s">
        <v>1363</v>
      </c>
      <c r="F15" s="442" t="s">
        <v>1360</v>
      </c>
      <c r="G15" s="458">
        <v>80000</v>
      </c>
      <c r="H15" s="442"/>
      <c r="I15" s="233"/>
      <c r="J15" s="233"/>
      <c r="K15" s="240"/>
      <c r="L15" s="233"/>
      <c r="M15" s="233"/>
      <c r="N15" s="240"/>
      <c r="O15" s="258"/>
      <c r="P15" s="258"/>
      <c r="Q15" s="258"/>
      <c r="R15" s="258"/>
      <c r="S15" s="258"/>
      <c r="T15" s="258"/>
      <c r="U15" s="258"/>
    </row>
    <row r="16" spans="1:21" s="292" customFormat="1" ht="99" customHeight="1">
      <c r="A16" s="446">
        <v>15</v>
      </c>
      <c r="B16" s="446" t="s">
        <v>1364</v>
      </c>
      <c r="C16" s="466" t="s">
        <v>1365</v>
      </c>
      <c r="D16" s="446" t="s">
        <v>1420</v>
      </c>
      <c r="E16" s="451" t="s">
        <v>1366</v>
      </c>
      <c r="F16" s="446" t="s">
        <v>531</v>
      </c>
      <c r="G16" s="455">
        <v>80000</v>
      </c>
      <c r="H16" s="446" t="s">
        <v>503</v>
      </c>
      <c r="I16" s="453" t="s">
        <v>1455</v>
      </c>
      <c r="J16" s="443"/>
      <c r="K16" s="447" t="s">
        <v>1456</v>
      </c>
      <c r="L16" s="443" t="s">
        <v>988</v>
      </c>
      <c r="M16" s="443"/>
      <c r="N16" s="448"/>
      <c r="O16" s="291"/>
      <c r="P16" s="291"/>
      <c r="Q16" s="291"/>
      <c r="R16" s="291"/>
      <c r="S16" s="291"/>
      <c r="T16" s="291"/>
      <c r="U16" s="291"/>
    </row>
    <row r="17" spans="1:21" s="292" customFormat="1" ht="99" customHeight="1">
      <c r="A17" s="446">
        <v>16</v>
      </c>
      <c r="B17" s="446" t="s">
        <v>1367</v>
      </c>
      <c r="C17" s="456" t="s">
        <v>1368</v>
      </c>
      <c r="D17" s="446" t="s">
        <v>1420</v>
      </c>
      <c r="E17" s="451" t="s">
        <v>1069</v>
      </c>
      <c r="F17" s="446" t="s">
        <v>529</v>
      </c>
      <c r="G17" s="455">
        <v>75000</v>
      </c>
      <c r="H17" s="451" t="s">
        <v>503</v>
      </c>
      <c r="I17" s="443" t="s">
        <v>1454</v>
      </c>
      <c r="J17" s="443"/>
      <c r="K17" s="447" t="s">
        <v>1453</v>
      </c>
      <c r="L17" s="443" t="s">
        <v>988</v>
      </c>
      <c r="M17" s="443"/>
      <c r="N17" s="448"/>
      <c r="O17" s="291"/>
      <c r="P17" s="291"/>
      <c r="Q17" s="291"/>
      <c r="R17" s="291"/>
      <c r="S17" s="291"/>
      <c r="T17" s="291"/>
      <c r="U17" s="291"/>
    </row>
    <row r="18" spans="1:21" s="292" customFormat="1" ht="99" customHeight="1">
      <c r="A18" s="446">
        <v>17</v>
      </c>
      <c r="B18" s="446" t="s">
        <v>1369</v>
      </c>
      <c r="C18" s="466" t="s">
        <v>1370</v>
      </c>
      <c r="D18" s="446" t="s">
        <v>1420</v>
      </c>
      <c r="E18" s="446" t="s">
        <v>1070</v>
      </c>
      <c r="F18" s="446" t="s">
        <v>529</v>
      </c>
      <c r="G18" s="455">
        <v>75000</v>
      </c>
      <c r="H18" s="446" t="s">
        <v>503</v>
      </c>
      <c r="I18" s="443" t="s">
        <v>1460</v>
      </c>
      <c r="J18" s="443"/>
      <c r="K18" s="447" t="s">
        <v>1298</v>
      </c>
      <c r="L18" s="443" t="s">
        <v>1283</v>
      </c>
      <c r="M18" s="443"/>
      <c r="N18" s="448"/>
      <c r="O18" s="291"/>
      <c r="P18" s="291"/>
      <c r="Q18" s="291"/>
      <c r="R18" s="291"/>
      <c r="S18" s="291"/>
      <c r="T18" s="291"/>
      <c r="U18" s="291"/>
    </row>
    <row r="19" spans="1:21" s="292" customFormat="1" ht="99" customHeight="1">
      <c r="A19" s="446">
        <v>18</v>
      </c>
      <c r="B19" s="446" t="s">
        <v>1371</v>
      </c>
      <c r="C19" s="466" t="s">
        <v>1372</v>
      </c>
      <c r="D19" s="446" t="s">
        <v>1420</v>
      </c>
      <c r="E19" s="446" t="s">
        <v>1373</v>
      </c>
      <c r="F19" s="446" t="s">
        <v>529</v>
      </c>
      <c r="G19" s="455">
        <v>75000</v>
      </c>
      <c r="H19" s="446" t="s">
        <v>503</v>
      </c>
      <c r="I19" s="453" t="s">
        <v>1462</v>
      </c>
      <c r="J19" s="443"/>
      <c r="K19" s="447" t="s">
        <v>1463</v>
      </c>
      <c r="L19" s="443" t="s">
        <v>988</v>
      </c>
      <c r="M19" s="443"/>
      <c r="N19" s="448"/>
      <c r="O19" s="291"/>
      <c r="P19" s="291"/>
      <c r="Q19" s="291"/>
      <c r="R19" s="291"/>
      <c r="S19" s="291"/>
      <c r="T19" s="291"/>
      <c r="U19" s="291"/>
    </row>
    <row r="20" spans="1:21" s="265" customFormat="1" ht="99" customHeight="1">
      <c r="A20" s="442">
        <v>19</v>
      </c>
      <c r="B20" s="442" t="s">
        <v>1374</v>
      </c>
      <c r="C20" s="465" t="s">
        <v>1375</v>
      </c>
      <c r="D20" s="442" t="s">
        <v>1420</v>
      </c>
      <c r="E20" s="442" t="s">
        <v>1376</v>
      </c>
      <c r="F20" s="442" t="s">
        <v>529</v>
      </c>
      <c r="G20" s="458">
        <v>75000</v>
      </c>
      <c r="H20" s="442"/>
      <c r="I20" s="233"/>
      <c r="J20" s="233"/>
      <c r="K20" s="240"/>
      <c r="L20" s="233"/>
      <c r="M20" s="233"/>
      <c r="N20" s="240"/>
      <c r="O20" s="258"/>
      <c r="P20" s="258"/>
      <c r="Q20" s="258"/>
      <c r="R20" s="258"/>
      <c r="S20" s="258"/>
      <c r="T20" s="258"/>
      <c r="U20" s="258"/>
    </row>
    <row r="21" spans="1:21" s="334" customFormat="1" ht="99" customHeight="1">
      <c r="A21" s="461">
        <v>20</v>
      </c>
      <c r="B21" s="461" t="s">
        <v>1377</v>
      </c>
      <c r="C21" s="467" t="s">
        <v>1378</v>
      </c>
      <c r="D21" s="461" t="s">
        <v>1420</v>
      </c>
      <c r="E21" s="461" t="s">
        <v>1379</v>
      </c>
      <c r="F21" s="461" t="s">
        <v>529</v>
      </c>
      <c r="G21" s="463">
        <v>75000</v>
      </c>
      <c r="H21" s="461" t="s">
        <v>1485</v>
      </c>
      <c r="I21" s="242"/>
      <c r="J21" s="242"/>
      <c r="K21" s="468" t="s">
        <v>1484</v>
      </c>
      <c r="L21" s="242" t="s">
        <v>988</v>
      </c>
      <c r="M21" s="242"/>
      <c r="N21" s="248"/>
      <c r="O21" s="333"/>
      <c r="P21" s="333"/>
      <c r="Q21" s="333"/>
      <c r="R21" s="333"/>
      <c r="S21" s="333"/>
      <c r="T21" s="333"/>
      <c r="U21" s="333"/>
    </row>
    <row r="22" spans="1:21" s="292" customFormat="1" ht="99" customHeight="1">
      <c r="A22" s="446">
        <v>21</v>
      </c>
      <c r="B22" s="446" t="s">
        <v>1380</v>
      </c>
      <c r="C22" s="466" t="s">
        <v>1381</v>
      </c>
      <c r="D22" s="446" t="s">
        <v>1420</v>
      </c>
      <c r="E22" s="446" t="s">
        <v>1065</v>
      </c>
      <c r="F22" s="446" t="s">
        <v>530</v>
      </c>
      <c r="G22" s="455">
        <v>75000</v>
      </c>
      <c r="H22" s="446" t="s">
        <v>503</v>
      </c>
      <c r="I22" s="443" t="s">
        <v>1446</v>
      </c>
      <c r="J22" s="443"/>
      <c r="K22" s="447" t="s">
        <v>1443</v>
      </c>
      <c r="L22" s="443" t="s">
        <v>988</v>
      </c>
      <c r="M22" s="443"/>
      <c r="N22" s="448"/>
      <c r="O22" s="291"/>
      <c r="P22" s="291"/>
      <c r="Q22" s="291"/>
      <c r="R22" s="291"/>
      <c r="S22" s="291"/>
      <c r="T22" s="291"/>
      <c r="U22" s="291"/>
    </row>
    <row r="23" spans="1:21" s="265" customFormat="1" ht="99" customHeight="1">
      <c r="A23" s="442">
        <v>22</v>
      </c>
      <c r="B23" s="233" t="s">
        <v>1382</v>
      </c>
      <c r="C23" s="457" t="s">
        <v>1383</v>
      </c>
      <c r="D23" s="442" t="s">
        <v>1420</v>
      </c>
      <c r="E23" s="442" t="s">
        <v>1384</v>
      </c>
      <c r="F23" s="442" t="s">
        <v>530</v>
      </c>
      <c r="G23" s="458">
        <v>75000</v>
      </c>
      <c r="H23" s="442"/>
      <c r="I23" s="469"/>
      <c r="J23" s="233"/>
      <c r="K23" s="241"/>
      <c r="L23" s="233"/>
      <c r="M23" s="233"/>
      <c r="N23" s="240"/>
      <c r="O23" s="258"/>
      <c r="P23" s="258"/>
      <c r="Q23" s="258"/>
      <c r="R23" s="258"/>
      <c r="S23" s="258"/>
      <c r="T23" s="258"/>
      <c r="U23" s="258"/>
    </row>
    <row r="24" spans="1:21" s="292" customFormat="1" ht="99" customHeight="1">
      <c r="A24" s="446">
        <v>23</v>
      </c>
      <c r="B24" s="446" t="s">
        <v>1385</v>
      </c>
      <c r="C24" s="466" t="s">
        <v>1386</v>
      </c>
      <c r="D24" s="446" t="s">
        <v>1420</v>
      </c>
      <c r="E24" s="446" t="s">
        <v>1066</v>
      </c>
      <c r="F24" s="446" t="s">
        <v>530</v>
      </c>
      <c r="G24" s="455">
        <v>75000</v>
      </c>
      <c r="H24" s="446" t="s">
        <v>503</v>
      </c>
      <c r="I24" s="443" t="s">
        <v>1450</v>
      </c>
      <c r="J24" s="443"/>
      <c r="K24" s="447" t="s">
        <v>1449</v>
      </c>
      <c r="L24" s="443" t="s">
        <v>988</v>
      </c>
      <c r="M24" s="443"/>
      <c r="N24" s="448"/>
      <c r="O24" s="291"/>
      <c r="P24" s="291"/>
      <c r="Q24" s="291"/>
      <c r="R24" s="291"/>
      <c r="S24" s="291"/>
      <c r="T24" s="291"/>
      <c r="U24" s="291"/>
    </row>
    <row r="25" spans="1:21" s="334" customFormat="1" ht="99" customHeight="1">
      <c r="A25" s="461">
        <v>24</v>
      </c>
      <c r="B25" s="461" t="s">
        <v>1387</v>
      </c>
      <c r="C25" s="467" t="s">
        <v>1388</v>
      </c>
      <c r="D25" s="461" t="s">
        <v>1420</v>
      </c>
      <c r="E25" s="461" t="s">
        <v>1389</v>
      </c>
      <c r="F25" s="461" t="s">
        <v>530</v>
      </c>
      <c r="G25" s="463">
        <v>75000</v>
      </c>
      <c r="H25" s="461" t="s">
        <v>1616</v>
      </c>
      <c r="I25" s="242"/>
      <c r="J25" s="242"/>
      <c r="K25" s="248"/>
      <c r="L25" s="242"/>
      <c r="M25" s="242"/>
      <c r="N25" s="248"/>
      <c r="O25" s="333"/>
      <c r="P25" s="333"/>
      <c r="Q25" s="333"/>
      <c r="R25" s="333"/>
      <c r="S25" s="333"/>
      <c r="T25" s="333"/>
      <c r="U25" s="333"/>
    </row>
    <row r="26" spans="1:21" s="292" customFormat="1" ht="99" customHeight="1">
      <c r="A26" s="446">
        <v>25</v>
      </c>
      <c r="B26" s="446" t="s">
        <v>1390</v>
      </c>
      <c r="C26" s="456" t="s">
        <v>1391</v>
      </c>
      <c r="D26" s="446" t="s">
        <v>1420</v>
      </c>
      <c r="E26" s="446" t="s">
        <v>1392</v>
      </c>
      <c r="F26" s="446" t="s">
        <v>530</v>
      </c>
      <c r="G26" s="455">
        <v>75000</v>
      </c>
      <c r="H26" s="446" t="s">
        <v>503</v>
      </c>
      <c r="I26" s="453" t="s">
        <v>1603</v>
      </c>
      <c r="J26" s="443"/>
      <c r="K26" s="447" t="s">
        <v>1600</v>
      </c>
      <c r="L26" s="443" t="s">
        <v>988</v>
      </c>
      <c r="M26" s="443"/>
      <c r="N26" s="448"/>
      <c r="O26" s="291"/>
      <c r="P26" s="291"/>
      <c r="Q26" s="291"/>
      <c r="R26" s="291"/>
      <c r="S26" s="291"/>
      <c r="T26" s="291"/>
      <c r="U26" s="291"/>
    </row>
    <row r="27" spans="1:21" s="265" customFormat="1" ht="99" customHeight="1">
      <c r="A27" s="442">
        <v>26</v>
      </c>
      <c r="B27" s="442" t="s">
        <v>1393</v>
      </c>
      <c r="C27" s="457" t="s">
        <v>1394</v>
      </c>
      <c r="D27" s="442" t="s">
        <v>1420</v>
      </c>
      <c r="E27" s="442" t="s">
        <v>1073</v>
      </c>
      <c r="F27" s="442" t="s">
        <v>518</v>
      </c>
      <c r="G27" s="458">
        <v>75000</v>
      </c>
      <c r="H27" s="442"/>
      <c r="I27" s="469"/>
      <c r="J27" s="233"/>
      <c r="K27" s="241"/>
      <c r="L27" s="233"/>
      <c r="M27" s="233"/>
      <c r="N27" s="240"/>
      <c r="O27" s="258"/>
      <c r="P27" s="258"/>
      <c r="Q27" s="258"/>
      <c r="R27" s="258"/>
      <c r="S27" s="258"/>
      <c r="T27" s="258"/>
      <c r="U27" s="258"/>
    </row>
    <row r="28" spans="1:21" s="292" customFormat="1" ht="99" customHeight="1">
      <c r="A28" s="446">
        <v>27</v>
      </c>
      <c r="B28" s="443" t="s">
        <v>1395</v>
      </c>
      <c r="C28" s="444" t="s">
        <v>1396</v>
      </c>
      <c r="D28" s="446" t="s">
        <v>1420</v>
      </c>
      <c r="E28" s="443" t="s">
        <v>1074</v>
      </c>
      <c r="F28" s="443" t="s">
        <v>518</v>
      </c>
      <c r="G28" s="455">
        <v>75000</v>
      </c>
      <c r="H28" s="446" t="s">
        <v>503</v>
      </c>
      <c r="I28" s="453" t="s">
        <v>1459</v>
      </c>
      <c r="J28" s="443"/>
      <c r="K28" s="447" t="s">
        <v>1301</v>
      </c>
      <c r="L28" s="443" t="s">
        <v>988</v>
      </c>
      <c r="M28" s="443"/>
      <c r="N28" s="448"/>
      <c r="O28" s="291"/>
      <c r="P28" s="291"/>
      <c r="Q28" s="291"/>
      <c r="R28" s="291"/>
      <c r="S28" s="291"/>
      <c r="T28" s="291"/>
      <c r="U28" s="291"/>
    </row>
    <row r="29" spans="1:21" s="292" customFormat="1" ht="99" customHeight="1">
      <c r="A29" s="446">
        <v>28</v>
      </c>
      <c r="B29" s="443" t="s">
        <v>1397</v>
      </c>
      <c r="C29" s="444" t="s">
        <v>1398</v>
      </c>
      <c r="D29" s="446" t="s">
        <v>1420</v>
      </c>
      <c r="E29" s="443" t="s">
        <v>1075</v>
      </c>
      <c r="F29" s="443" t="s">
        <v>518</v>
      </c>
      <c r="G29" s="455">
        <v>75000</v>
      </c>
      <c r="H29" s="446" t="s">
        <v>503</v>
      </c>
      <c r="I29" s="453" t="s">
        <v>1451</v>
      </c>
      <c r="J29" s="443"/>
      <c r="K29" s="448" t="s">
        <v>1447</v>
      </c>
      <c r="L29" s="443" t="s">
        <v>1448</v>
      </c>
      <c r="M29" s="443"/>
      <c r="N29" s="448"/>
      <c r="O29" s="291"/>
      <c r="P29" s="291"/>
      <c r="Q29" s="291"/>
      <c r="R29" s="291"/>
      <c r="S29" s="291"/>
      <c r="T29" s="291"/>
      <c r="U29" s="291"/>
    </row>
    <row r="30" spans="1:21" s="292" customFormat="1" ht="99" customHeight="1">
      <c r="A30" s="446">
        <v>29</v>
      </c>
      <c r="B30" s="443" t="s">
        <v>1399</v>
      </c>
      <c r="C30" s="444" t="s">
        <v>1400</v>
      </c>
      <c r="D30" s="446" t="s">
        <v>1420</v>
      </c>
      <c r="E30" s="443" t="s">
        <v>1401</v>
      </c>
      <c r="F30" s="443" t="s">
        <v>518</v>
      </c>
      <c r="G30" s="455">
        <v>75000</v>
      </c>
      <c r="H30" s="446" t="s">
        <v>503</v>
      </c>
      <c r="I30" s="453" t="s">
        <v>1445</v>
      </c>
      <c r="J30" s="443"/>
      <c r="K30" s="447" t="s">
        <v>1444</v>
      </c>
      <c r="L30" s="443" t="s">
        <v>1272</v>
      </c>
      <c r="M30" s="443"/>
      <c r="N30" s="448"/>
      <c r="O30" s="291"/>
      <c r="P30" s="291"/>
      <c r="Q30" s="291"/>
      <c r="R30" s="291"/>
      <c r="S30" s="291"/>
      <c r="T30" s="291"/>
      <c r="U30" s="291"/>
    </row>
    <row r="31" spans="1:21" s="332" customFormat="1" ht="99" customHeight="1">
      <c r="A31" s="446">
        <v>30</v>
      </c>
      <c r="B31" s="443" t="s">
        <v>1402</v>
      </c>
      <c r="C31" s="444" t="s">
        <v>1403</v>
      </c>
      <c r="D31" s="446" t="s">
        <v>1420</v>
      </c>
      <c r="E31" s="470" t="s">
        <v>1077</v>
      </c>
      <c r="F31" s="471" t="s">
        <v>518</v>
      </c>
      <c r="G31" s="455">
        <v>75000</v>
      </c>
      <c r="H31" s="446" t="s">
        <v>503</v>
      </c>
      <c r="I31" s="443" t="s">
        <v>1475</v>
      </c>
      <c r="J31" s="443"/>
      <c r="K31" s="448" t="s">
        <v>1477</v>
      </c>
      <c r="L31" s="443" t="s">
        <v>988</v>
      </c>
      <c r="M31" s="443"/>
      <c r="N31" s="448"/>
      <c r="O31" s="291"/>
      <c r="P31" s="291"/>
      <c r="Q31" s="291"/>
      <c r="R31" s="291"/>
      <c r="S31" s="291"/>
      <c r="T31" s="291"/>
      <c r="U31" s="291"/>
    </row>
    <row r="32" spans="1:21" s="332" customFormat="1" ht="99" customHeight="1">
      <c r="A32" s="446">
        <v>31</v>
      </c>
      <c r="B32" s="443" t="s">
        <v>1404</v>
      </c>
      <c r="C32" s="444" t="s">
        <v>1405</v>
      </c>
      <c r="D32" s="446" t="s">
        <v>1420</v>
      </c>
      <c r="E32" s="443" t="s">
        <v>1072</v>
      </c>
      <c r="F32" s="443" t="s">
        <v>518</v>
      </c>
      <c r="G32" s="455">
        <v>75000</v>
      </c>
      <c r="H32" s="446" t="s">
        <v>503</v>
      </c>
      <c r="I32" s="443" t="s">
        <v>1427</v>
      </c>
      <c r="J32" s="443"/>
      <c r="K32" s="447" t="s">
        <v>1426</v>
      </c>
      <c r="L32" s="443" t="s">
        <v>988</v>
      </c>
      <c r="M32" s="443"/>
      <c r="N32" s="448"/>
      <c r="O32" s="291"/>
      <c r="P32" s="291"/>
      <c r="Q32" s="291"/>
      <c r="R32" s="291"/>
      <c r="S32" s="291"/>
      <c r="T32" s="291"/>
      <c r="U32" s="291"/>
    </row>
    <row r="33" spans="1:21" s="332" customFormat="1" ht="99" customHeight="1">
      <c r="A33" s="446">
        <v>32</v>
      </c>
      <c r="B33" s="443" t="s">
        <v>1406</v>
      </c>
      <c r="C33" s="444" t="s">
        <v>1407</v>
      </c>
      <c r="D33" s="446" t="s">
        <v>1420</v>
      </c>
      <c r="E33" s="443" t="s">
        <v>1408</v>
      </c>
      <c r="F33" s="443" t="s">
        <v>518</v>
      </c>
      <c r="G33" s="455">
        <v>75000</v>
      </c>
      <c r="H33" s="446" t="s">
        <v>503</v>
      </c>
      <c r="I33" s="443" t="s">
        <v>1476</v>
      </c>
      <c r="J33" s="443"/>
      <c r="K33" s="448" t="s">
        <v>1477</v>
      </c>
      <c r="L33" s="443" t="s">
        <v>988</v>
      </c>
      <c r="M33" s="443"/>
      <c r="N33" s="448"/>
      <c r="O33" s="291"/>
      <c r="P33" s="291"/>
      <c r="Q33" s="291"/>
      <c r="R33" s="291"/>
      <c r="S33" s="291"/>
      <c r="T33" s="291"/>
      <c r="U33" s="291"/>
    </row>
    <row r="34" spans="1:21" ht="99" customHeight="1">
      <c r="A34" s="442">
        <v>33</v>
      </c>
      <c r="B34" s="233" t="s">
        <v>1409</v>
      </c>
      <c r="C34" s="234" t="s">
        <v>1410</v>
      </c>
      <c r="D34" s="442" t="s">
        <v>1420</v>
      </c>
      <c r="E34" s="233" t="s">
        <v>1411</v>
      </c>
      <c r="F34" s="233" t="s">
        <v>516</v>
      </c>
      <c r="G34" s="458">
        <v>80000</v>
      </c>
      <c r="H34" s="472"/>
      <c r="I34" s="233"/>
      <c r="J34" s="233"/>
      <c r="K34" s="240"/>
      <c r="L34" s="233"/>
      <c r="M34" s="233"/>
      <c r="N34" s="240"/>
      <c r="O34" s="258"/>
      <c r="P34" s="258"/>
      <c r="Q34" s="258"/>
      <c r="R34" s="258"/>
      <c r="S34" s="258"/>
      <c r="T34" s="258"/>
      <c r="U34" s="258"/>
    </row>
    <row r="35" spans="1:21" s="332" customFormat="1" ht="99" customHeight="1">
      <c r="A35" s="446">
        <v>34</v>
      </c>
      <c r="B35" s="443" t="s">
        <v>1412</v>
      </c>
      <c r="C35" s="444" t="s">
        <v>1413</v>
      </c>
      <c r="D35" s="446" t="s">
        <v>1420</v>
      </c>
      <c r="E35" s="443" t="s">
        <v>730</v>
      </c>
      <c r="F35" s="443" t="s">
        <v>516</v>
      </c>
      <c r="G35" s="445">
        <v>75000</v>
      </c>
      <c r="H35" s="446" t="s">
        <v>503</v>
      </c>
      <c r="I35" s="443"/>
      <c r="J35" s="443"/>
      <c r="K35" s="447" t="s">
        <v>1452</v>
      </c>
      <c r="L35" s="443" t="s">
        <v>1283</v>
      </c>
      <c r="M35" s="443"/>
      <c r="N35" s="448"/>
      <c r="O35" s="291"/>
      <c r="P35" s="291"/>
      <c r="Q35" s="291"/>
      <c r="R35" s="291"/>
      <c r="S35" s="291"/>
      <c r="T35" s="291"/>
      <c r="U35" s="291"/>
    </row>
    <row r="36" spans="1:21" s="332" customFormat="1" ht="99" customHeight="1">
      <c r="A36" s="446">
        <v>35</v>
      </c>
      <c r="B36" s="443" t="s">
        <v>1414</v>
      </c>
      <c r="C36" s="444" t="s">
        <v>1415</v>
      </c>
      <c r="D36" s="446" t="s">
        <v>1420</v>
      </c>
      <c r="E36" s="443" t="s">
        <v>1416</v>
      </c>
      <c r="F36" s="443" t="s">
        <v>516</v>
      </c>
      <c r="G36" s="445">
        <v>75000</v>
      </c>
      <c r="H36" s="446" t="s">
        <v>503</v>
      </c>
      <c r="I36" s="443" t="s">
        <v>1622</v>
      </c>
      <c r="J36" s="443"/>
      <c r="K36" s="447" t="s">
        <v>1621</v>
      </c>
      <c r="L36" s="443" t="s">
        <v>1283</v>
      </c>
      <c r="M36" s="443"/>
      <c r="N36" s="448"/>
      <c r="O36" s="291"/>
      <c r="P36" s="291"/>
      <c r="Q36" s="291"/>
      <c r="R36" s="291"/>
      <c r="S36" s="291"/>
      <c r="T36" s="291"/>
      <c r="U36" s="291"/>
    </row>
    <row r="37" spans="1:21" ht="99" customHeight="1">
      <c r="A37" s="442">
        <v>36</v>
      </c>
      <c r="B37" s="233" t="s">
        <v>1417</v>
      </c>
      <c r="C37" s="234" t="s">
        <v>1418</v>
      </c>
      <c r="D37" s="442" t="s">
        <v>1420</v>
      </c>
      <c r="E37" s="233" t="s">
        <v>1419</v>
      </c>
      <c r="F37" s="233" t="s">
        <v>516</v>
      </c>
      <c r="G37" s="254">
        <v>75000</v>
      </c>
      <c r="H37" s="472"/>
      <c r="I37" s="233"/>
      <c r="J37" s="233"/>
      <c r="K37" s="240"/>
      <c r="L37" s="233"/>
      <c r="M37" s="233"/>
      <c r="N37" s="240"/>
      <c r="O37" s="258"/>
      <c r="P37" s="258"/>
      <c r="Q37" s="258"/>
      <c r="R37" s="258"/>
      <c r="S37" s="258"/>
      <c r="T37" s="258"/>
      <c r="U37" s="258"/>
    </row>
    <row r="38" spans="1:21" ht="99" customHeight="1">
      <c r="A38" s="240"/>
      <c r="B38" s="233"/>
      <c r="C38" s="473"/>
      <c r="D38" s="233"/>
      <c r="E38" s="233"/>
      <c r="F38" s="233"/>
      <c r="G38" s="474">
        <f>SUM(G2:G37)</f>
        <v>2775000</v>
      </c>
      <c r="H38" s="472"/>
      <c r="I38" s="233"/>
      <c r="J38" s="233"/>
      <c r="K38" s="240"/>
      <c r="L38" s="233"/>
      <c r="M38" s="233"/>
      <c r="N38" s="240"/>
      <c r="O38" s="258"/>
      <c r="P38" s="258"/>
      <c r="Q38" s="258"/>
      <c r="R38" s="258"/>
      <c r="S38" s="258"/>
      <c r="T38" s="258"/>
      <c r="U38" s="258"/>
    </row>
    <row r="39" spans="1:21" ht="99" customHeight="1">
      <c r="A39" s="258"/>
      <c r="B39" s="256"/>
      <c r="C39" s="270"/>
      <c r="D39" s="256"/>
      <c r="E39" s="256"/>
      <c r="F39" s="256"/>
      <c r="G39" s="261"/>
      <c r="H39" s="281"/>
      <c r="I39" s="256"/>
      <c r="J39" s="256"/>
      <c r="K39" s="258"/>
      <c r="L39" s="256"/>
      <c r="M39" s="256"/>
      <c r="N39" s="258"/>
      <c r="O39" s="258"/>
      <c r="P39" s="258"/>
      <c r="Q39" s="258"/>
      <c r="R39" s="258"/>
      <c r="S39" s="258"/>
      <c r="T39" s="258"/>
      <c r="U39" s="258"/>
    </row>
    <row r="40" spans="1:21" ht="99" customHeight="1">
      <c r="A40" s="258"/>
      <c r="B40" s="256"/>
      <c r="C40" s="270"/>
      <c r="D40" s="256"/>
      <c r="E40" s="256"/>
      <c r="F40" s="256"/>
      <c r="G40" s="261"/>
      <c r="H40" s="281"/>
      <c r="I40" s="256"/>
      <c r="J40" s="256"/>
      <c r="K40" s="258"/>
      <c r="L40" s="256"/>
      <c r="M40" s="256"/>
      <c r="N40" s="258"/>
      <c r="O40" s="258"/>
      <c r="P40" s="258"/>
      <c r="Q40" s="258"/>
      <c r="R40" s="258"/>
      <c r="S40" s="258"/>
      <c r="T40" s="258"/>
      <c r="U40" s="258"/>
    </row>
    <row r="41" spans="1:21" ht="99" customHeight="1">
      <c r="A41" s="258"/>
      <c r="B41" s="256"/>
      <c r="C41" s="270"/>
      <c r="D41" s="256"/>
      <c r="E41" s="256"/>
      <c r="F41" s="256"/>
      <c r="G41" s="261"/>
      <c r="H41" s="281"/>
      <c r="I41" s="256"/>
      <c r="J41" s="256"/>
      <c r="K41" s="258"/>
      <c r="L41" s="256"/>
      <c r="M41" s="256"/>
      <c r="N41" s="258"/>
      <c r="O41" s="258"/>
      <c r="P41" s="258"/>
      <c r="Q41" s="258"/>
      <c r="R41" s="258"/>
      <c r="S41" s="258"/>
      <c r="T41" s="258"/>
      <c r="U41" s="258"/>
    </row>
    <row r="42" spans="1:21" ht="99" customHeight="1">
      <c r="A42" s="258"/>
      <c r="B42" s="256"/>
      <c r="C42" s="270"/>
      <c r="D42" s="256"/>
      <c r="E42" s="256"/>
      <c r="F42" s="256"/>
      <c r="G42" s="261"/>
      <c r="H42" s="281"/>
      <c r="I42" s="256"/>
      <c r="J42" s="256"/>
      <c r="K42" s="258"/>
      <c r="L42" s="256"/>
      <c r="M42" s="256"/>
      <c r="N42" s="258"/>
      <c r="O42" s="258"/>
      <c r="P42" s="258"/>
      <c r="Q42" s="258"/>
      <c r="R42" s="258"/>
      <c r="S42" s="258"/>
      <c r="T42" s="258"/>
      <c r="U42" s="258"/>
    </row>
    <row r="43" spans="1:21" ht="99" customHeight="1">
      <c r="A43" s="258"/>
      <c r="B43" s="256"/>
      <c r="C43" s="270"/>
      <c r="D43" s="256"/>
      <c r="E43" s="256"/>
      <c r="F43" s="256"/>
      <c r="G43" s="261"/>
      <c r="H43" s="281"/>
      <c r="I43" s="256"/>
      <c r="J43" s="256"/>
      <c r="K43" s="258"/>
      <c r="L43" s="256"/>
      <c r="M43" s="256"/>
      <c r="N43" s="258"/>
      <c r="O43" s="258"/>
      <c r="P43" s="258"/>
      <c r="Q43" s="258"/>
      <c r="R43" s="258"/>
      <c r="S43" s="258"/>
      <c r="T43" s="258"/>
      <c r="U43" s="258"/>
    </row>
    <row r="44" spans="1:21" ht="99" customHeight="1">
      <c r="A44" s="258"/>
      <c r="B44" s="256"/>
      <c r="C44" s="270"/>
      <c r="D44" s="256"/>
      <c r="E44" s="256"/>
      <c r="F44" s="256"/>
      <c r="G44" s="261"/>
      <c r="H44" s="281"/>
      <c r="I44" s="256"/>
      <c r="J44" s="256"/>
      <c r="K44" s="258"/>
      <c r="L44" s="256"/>
      <c r="M44" s="256"/>
      <c r="N44" s="258"/>
      <c r="O44" s="258"/>
      <c r="P44" s="258"/>
      <c r="Q44" s="258"/>
      <c r="R44" s="258"/>
      <c r="S44" s="258"/>
      <c r="T44" s="258"/>
      <c r="U44" s="258"/>
    </row>
    <row r="45" spans="1:21" ht="99" customHeight="1">
      <c r="A45" s="258"/>
      <c r="B45" s="256"/>
      <c r="C45" s="270"/>
      <c r="D45" s="256"/>
      <c r="E45" s="256"/>
      <c r="F45" s="256"/>
      <c r="G45" s="261"/>
      <c r="H45" s="281"/>
      <c r="I45" s="256"/>
      <c r="J45" s="256"/>
      <c r="K45" s="258"/>
      <c r="L45" s="256"/>
      <c r="M45" s="256"/>
      <c r="N45" s="258"/>
      <c r="O45" s="258"/>
      <c r="P45" s="258"/>
      <c r="Q45" s="258"/>
      <c r="R45" s="258"/>
      <c r="S45" s="258"/>
      <c r="T45" s="258"/>
      <c r="U45" s="258"/>
    </row>
    <row r="46" spans="1:21" ht="99" customHeight="1">
      <c r="A46" s="258"/>
      <c r="B46" s="256"/>
      <c r="C46" s="270"/>
      <c r="D46" s="256"/>
      <c r="E46" s="256"/>
      <c r="F46" s="256"/>
      <c r="G46" s="261"/>
      <c r="H46" s="281"/>
      <c r="I46" s="256"/>
      <c r="J46" s="256"/>
      <c r="K46" s="258"/>
      <c r="L46" s="256"/>
      <c r="M46" s="256"/>
      <c r="N46" s="258"/>
      <c r="O46" s="258"/>
      <c r="P46" s="258"/>
      <c r="Q46" s="258"/>
      <c r="R46" s="258"/>
      <c r="S46" s="258"/>
      <c r="T46" s="258"/>
      <c r="U46" s="258"/>
    </row>
    <row r="47" spans="1:21" ht="99" customHeight="1">
      <c r="A47" s="258"/>
      <c r="B47" s="256"/>
      <c r="C47" s="270"/>
      <c r="D47" s="256"/>
      <c r="E47" s="256"/>
      <c r="F47" s="256"/>
      <c r="G47" s="261"/>
      <c r="H47" s="281"/>
      <c r="I47" s="256"/>
      <c r="J47" s="256"/>
      <c r="K47" s="258"/>
      <c r="L47" s="256"/>
      <c r="M47" s="256"/>
      <c r="N47" s="258"/>
      <c r="O47" s="258"/>
      <c r="P47" s="258"/>
      <c r="Q47" s="258"/>
      <c r="R47" s="258"/>
      <c r="S47" s="258"/>
      <c r="T47" s="258"/>
      <c r="U47" s="258"/>
    </row>
    <row r="48" spans="1:21" ht="99" customHeight="1">
      <c r="A48" s="258"/>
      <c r="B48" s="256"/>
      <c r="C48" s="270"/>
      <c r="D48" s="256"/>
      <c r="E48" s="256"/>
      <c r="F48" s="256"/>
      <c r="G48" s="261"/>
      <c r="H48" s="281"/>
      <c r="I48" s="256"/>
      <c r="J48" s="256"/>
      <c r="K48" s="258"/>
      <c r="L48" s="256"/>
      <c r="M48" s="256"/>
      <c r="N48" s="258"/>
      <c r="O48" s="258"/>
      <c r="P48" s="258"/>
      <c r="Q48" s="258"/>
      <c r="R48" s="258"/>
      <c r="S48" s="258"/>
      <c r="T48" s="258"/>
      <c r="U48" s="258"/>
    </row>
    <row r="49" spans="1:21" ht="99" customHeight="1">
      <c r="A49" s="258"/>
      <c r="B49" s="256"/>
      <c r="C49" s="270"/>
      <c r="D49" s="256"/>
      <c r="E49" s="256"/>
      <c r="F49" s="256"/>
      <c r="G49" s="261"/>
      <c r="H49" s="281"/>
      <c r="I49" s="256"/>
      <c r="J49" s="256"/>
      <c r="K49" s="258"/>
      <c r="L49" s="256"/>
      <c r="M49" s="256"/>
      <c r="N49" s="258"/>
      <c r="O49" s="258"/>
      <c r="P49" s="258"/>
      <c r="Q49" s="258"/>
      <c r="R49" s="258"/>
      <c r="S49" s="258"/>
      <c r="T49" s="258"/>
      <c r="U49" s="258"/>
    </row>
    <row r="50" spans="1:21" ht="99" customHeight="1">
      <c r="A50" s="258"/>
      <c r="B50" s="256"/>
      <c r="C50" s="270"/>
      <c r="D50" s="256"/>
      <c r="E50" s="256"/>
      <c r="F50" s="256"/>
      <c r="G50" s="261"/>
      <c r="H50" s="281"/>
      <c r="I50" s="256"/>
      <c r="J50" s="256"/>
      <c r="K50" s="258"/>
      <c r="L50" s="256"/>
      <c r="M50" s="256"/>
      <c r="N50" s="258"/>
      <c r="O50" s="258"/>
      <c r="P50" s="258"/>
      <c r="Q50" s="258"/>
      <c r="R50" s="258"/>
      <c r="S50" s="258"/>
      <c r="T50" s="258"/>
      <c r="U50" s="258"/>
    </row>
    <row r="51" spans="1:21" ht="99" customHeight="1">
      <c r="A51" s="258"/>
      <c r="B51" s="256"/>
      <c r="C51" s="270"/>
      <c r="D51" s="256"/>
      <c r="E51" s="256"/>
      <c r="F51" s="256"/>
      <c r="G51" s="261"/>
      <c r="H51" s="281"/>
      <c r="I51" s="256"/>
      <c r="J51" s="256"/>
      <c r="K51" s="258"/>
      <c r="L51" s="256"/>
      <c r="M51" s="256"/>
      <c r="N51" s="258"/>
      <c r="O51" s="258"/>
      <c r="P51" s="258"/>
      <c r="Q51" s="258"/>
      <c r="R51" s="258"/>
      <c r="S51" s="258"/>
      <c r="T51" s="258"/>
      <c r="U51" s="258"/>
    </row>
    <row r="52" spans="1:21" ht="99" customHeight="1">
      <c r="A52" s="258"/>
      <c r="B52" s="256"/>
      <c r="C52" s="270"/>
      <c r="D52" s="256"/>
      <c r="E52" s="256"/>
      <c r="F52" s="256"/>
      <c r="G52" s="261"/>
      <c r="H52" s="281"/>
      <c r="I52" s="256"/>
      <c r="J52" s="256"/>
      <c r="K52" s="258"/>
      <c r="L52" s="256"/>
      <c r="M52" s="256"/>
      <c r="N52" s="258"/>
      <c r="O52" s="258"/>
      <c r="P52" s="258"/>
      <c r="Q52" s="258"/>
      <c r="R52" s="258"/>
      <c r="S52" s="258"/>
      <c r="T52" s="258"/>
      <c r="U52" s="258"/>
    </row>
    <row r="53" spans="1:21" ht="99" customHeight="1">
      <c r="A53" s="258"/>
      <c r="B53" s="256"/>
      <c r="C53" s="270"/>
      <c r="D53" s="256"/>
      <c r="E53" s="256"/>
      <c r="F53" s="256"/>
      <c r="G53" s="261"/>
      <c r="H53" s="281"/>
      <c r="I53" s="256"/>
      <c r="J53" s="256"/>
      <c r="K53" s="258"/>
      <c r="L53" s="256"/>
      <c r="M53" s="256"/>
      <c r="N53" s="258"/>
      <c r="O53" s="258"/>
      <c r="P53" s="258"/>
      <c r="Q53" s="258"/>
      <c r="R53" s="258"/>
      <c r="S53" s="258"/>
      <c r="T53" s="258"/>
      <c r="U53" s="258"/>
    </row>
    <row r="54" spans="1:21" ht="99" customHeight="1">
      <c r="A54" s="258"/>
      <c r="B54" s="256"/>
      <c r="C54" s="270"/>
      <c r="D54" s="256"/>
      <c r="E54" s="256"/>
      <c r="F54" s="256"/>
      <c r="G54" s="261"/>
      <c r="H54" s="281"/>
      <c r="I54" s="256"/>
      <c r="J54" s="256"/>
      <c r="K54" s="258"/>
      <c r="L54" s="256"/>
      <c r="M54" s="256"/>
      <c r="N54" s="258"/>
      <c r="O54" s="258"/>
      <c r="P54" s="258"/>
      <c r="Q54" s="258"/>
      <c r="R54" s="258"/>
      <c r="S54" s="258"/>
      <c r="T54" s="258"/>
      <c r="U54" s="258"/>
    </row>
    <row r="55" spans="1:21" ht="99" customHeight="1">
      <c r="A55" s="258"/>
      <c r="B55" s="256"/>
      <c r="C55" s="270"/>
      <c r="D55" s="256"/>
      <c r="E55" s="256"/>
      <c r="F55" s="256"/>
      <c r="G55" s="261"/>
      <c r="H55" s="281"/>
      <c r="I55" s="256"/>
      <c r="J55" s="256"/>
      <c r="K55" s="258"/>
      <c r="L55" s="256"/>
      <c r="M55" s="256"/>
      <c r="N55" s="258"/>
      <c r="O55" s="258"/>
      <c r="P55" s="258"/>
      <c r="Q55" s="258"/>
      <c r="R55" s="258"/>
      <c r="S55" s="258"/>
      <c r="T55" s="258"/>
      <c r="U55" s="258"/>
    </row>
    <row r="56" spans="1:21" ht="99" customHeight="1">
      <c r="A56" s="258"/>
      <c r="B56" s="256"/>
      <c r="C56" s="270"/>
      <c r="D56" s="256"/>
      <c r="E56" s="256"/>
      <c r="F56" s="256"/>
      <c r="G56" s="261"/>
      <c r="H56" s="281"/>
      <c r="I56" s="256"/>
      <c r="J56" s="256"/>
      <c r="K56" s="258"/>
      <c r="L56" s="256"/>
      <c r="M56" s="256"/>
      <c r="N56" s="258"/>
      <c r="O56" s="258"/>
      <c r="P56" s="258"/>
      <c r="Q56" s="258"/>
      <c r="R56" s="258"/>
      <c r="S56" s="258"/>
      <c r="T56" s="258"/>
      <c r="U56" s="258"/>
    </row>
    <row r="57" spans="1:21" ht="99" customHeight="1">
      <c r="A57" s="258"/>
      <c r="B57" s="256"/>
      <c r="C57" s="270"/>
      <c r="D57" s="256"/>
      <c r="E57" s="256"/>
      <c r="F57" s="256"/>
      <c r="G57" s="261"/>
      <c r="H57" s="281"/>
      <c r="I57" s="256"/>
      <c r="J57" s="256"/>
      <c r="K57" s="258"/>
      <c r="L57" s="256"/>
      <c r="M57" s="256"/>
      <c r="N57" s="258"/>
      <c r="O57" s="258"/>
      <c r="P57" s="258"/>
      <c r="Q57" s="258"/>
      <c r="R57" s="258"/>
      <c r="S57" s="258"/>
      <c r="T57" s="258"/>
      <c r="U57" s="258"/>
    </row>
    <row r="58" spans="1:21" ht="99" customHeight="1">
      <c r="A58" s="258"/>
      <c r="B58" s="256"/>
      <c r="C58" s="270"/>
      <c r="D58" s="256"/>
      <c r="E58" s="256"/>
      <c r="F58" s="256"/>
      <c r="G58" s="261"/>
      <c r="H58" s="281"/>
      <c r="I58" s="256"/>
      <c r="J58" s="256"/>
      <c r="K58" s="258"/>
      <c r="L58" s="256"/>
      <c r="M58" s="256"/>
      <c r="N58" s="258"/>
      <c r="O58" s="258"/>
      <c r="P58" s="258"/>
      <c r="Q58" s="258"/>
      <c r="R58" s="258"/>
      <c r="S58" s="258"/>
      <c r="T58" s="258"/>
      <c r="U58" s="258"/>
    </row>
    <row r="59" spans="1:21" ht="99" customHeight="1">
      <c r="A59" s="258"/>
      <c r="B59" s="256"/>
      <c r="C59" s="270"/>
      <c r="D59" s="256"/>
      <c r="E59" s="256"/>
      <c r="F59" s="256"/>
      <c r="G59" s="261"/>
      <c r="H59" s="281"/>
      <c r="I59" s="256"/>
      <c r="J59" s="256"/>
      <c r="K59" s="258"/>
      <c r="L59" s="256"/>
      <c r="M59" s="256"/>
      <c r="N59" s="258"/>
      <c r="O59" s="258"/>
      <c r="P59" s="258"/>
      <c r="Q59" s="258"/>
      <c r="R59" s="258"/>
      <c r="S59" s="258"/>
      <c r="T59" s="258"/>
      <c r="U59" s="258"/>
    </row>
    <row r="60" spans="1:21" ht="99" customHeight="1">
      <c r="A60" s="258"/>
      <c r="B60" s="256"/>
      <c r="C60" s="270"/>
      <c r="D60" s="256"/>
      <c r="E60" s="256"/>
      <c r="F60" s="256"/>
      <c r="G60" s="261"/>
      <c r="H60" s="281"/>
      <c r="I60" s="256"/>
      <c r="J60" s="256"/>
      <c r="K60" s="258"/>
      <c r="L60" s="256"/>
      <c r="M60" s="256"/>
      <c r="N60" s="258"/>
      <c r="O60" s="258"/>
      <c r="P60" s="258"/>
      <c r="Q60" s="258"/>
      <c r="R60" s="258"/>
      <c r="S60" s="258"/>
      <c r="T60" s="258"/>
      <c r="U60" s="258"/>
    </row>
    <row r="61" spans="1:21" ht="99" customHeight="1">
      <c r="A61" s="258"/>
      <c r="B61" s="256"/>
      <c r="C61" s="270"/>
      <c r="D61" s="256"/>
      <c r="E61" s="256"/>
      <c r="F61" s="256"/>
      <c r="G61" s="261"/>
      <c r="H61" s="281"/>
      <c r="I61" s="256"/>
      <c r="J61" s="256"/>
      <c r="K61" s="258"/>
      <c r="L61" s="256"/>
      <c r="M61" s="256"/>
      <c r="N61" s="258"/>
      <c r="O61" s="258"/>
      <c r="P61" s="258"/>
      <c r="Q61" s="258"/>
      <c r="R61" s="258"/>
      <c r="S61" s="258"/>
      <c r="T61" s="258"/>
      <c r="U61" s="258"/>
    </row>
    <row r="62" spans="1:21" ht="99" customHeight="1">
      <c r="A62" s="258"/>
      <c r="B62" s="256"/>
      <c r="C62" s="270"/>
      <c r="D62" s="256"/>
      <c r="E62" s="256"/>
      <c r="F62" s="256"/>
      <c r="G62" s="261"/>
      <c r="H62" s="281"/>
      <c r="I62" s="256"/>
      <c r="J62" s="256"/>
      <c r="K62" s="258"/>
      <c r="L62" s="256"/>
      <c r="M62" s="256"/>
      <c r="N62" s="258"/>
      <c r="O62" s="258"/>
      <c r="P62" s="258"/>
      <c r="Q62" s="258"/>
      <c r="R62" s="258"/>
      <c r="S62" s="258"/>
      <c r="T62" s="258"/>
      <c r="U62" s="258"/>
    </row>
    <row r="63" spans="1:21" ht="99" customHeight="1">
      <c r="A63" s="258"/>
      <c r="B63" s="256"/>
      <c r="C63" s="270"/>
      <c r="D63" s="256"/>
      <c r="E63" s="256"/>
      <c r="F63" s="256"/>
      <c r="G63" s="261"/>
      <c r="H63" s="281"/>
      <c r="I63" s="256"/>
      <c r="J63" s="256"/>
      <c r="K63" s="258"/>
      <c r="L63" s="256"/>
      <c r="M63" s="256"/>
      <c r="N63" s="258"/>
      <c r="O63" s="258"/>
      <c r="P63" s="258"/>
      <c r="Q63" s="258"/>
      <c r="R63" s="258"/>
      <c r="S63" s="258"/>
      <c r="T63" s="258"/>
      <c r="U63" s="258"/>
    </row>
    <row r="64" spans="1:21" ht="99" customHeight="1">
      <c r="A64" s="258"/>
      <c r="B64" s="256"/>
      <c r="C64" s="270"/>
      <c r="D64" s="256"/>
      <c r="E64" s="256"/>
      <c r="F64" s="256"/>
      <c r="G64" s="261"/>
      <c r="H64" s="281"/>
      <c r="I64" s="256"/>
      <c r="J64" s="256"/>
      <c r="K64" s="258"/>
      <c r="L64" s="256"/>
      <c r="M64" s="256"/>
      <c r="N64" s="258"/>
      <c r="O64" s="258"/>
      <c r="P64" s="258"/>
      <c r="Q64" s="258"/>
      <c r="R64" s="258"/>
      <c r="S64" s="258"/>
      <c r="T64" s="258"/>
      <c r="U64" s="258"/>
    </row>
    <row r="65" spans="1:21" ht="99" customHeight="1">
      <c r="A65" s="258"/>
      <c r="B65" s="256"/>
      <c r="C65" s="270"/>
      <c r="D65" s="256"/>
      <c r="E65" s="256"/>
      <c r="F65" s="256"/>
      <c r="G65" s="261"/>
      <c r="H65" s="281"/>
      <c r="I65" s="256"/>
      <c r="J65" s="256"/>
      <c r="K65" s="258"/>
      <c r="L65" s="256"/>
      <c r="M65" s="256"/>
      <c r="N65" s="258"/>
      <c r="O65" s="258"/>
      <c r="P65" s="258"/>
      <c r="Q65" s="258"/>
      <c r="R65" s="258"/>
      <c r="S65" s="258"/>
      <c r="T65" s="258"/>
      <c r="U65" s="258"/>
    </row>
    <row r="66" spans="1:21" ht="99" customHeight="1">
      <c r="A66" s="258"/>
      <c r="B66" s="256"/>
      <c r="C66" s="270"/>
      <c r="D66" s="256"/>
      <c r="E66" s="256"/>
      <c r="F66" s="256"/>
      <c r="G66" s="261"/>
      <c r="H66" s="281"/>
      <c r="I66" s="256"/>
      <c r="J66" s="256"/>
      <c r="K66" s="258"/>
      <c r="L66" s="256"/>
      <c r="M66" s="256"/>
      <c r="N66" s="258"/>
      <c r="O66" s="258"/>
      <c r="P66" s="258"/>
      <c r="Q66" s="258"/>
      <c r="R66" s="258"/>
      <c r="S66" s="258"/>
      <c r="T66" s="258"/>
      <c r="U66" s="258"/>
    </row>
    <row r="67" spans="1:21" ht="99" customHeight="1">
      <c r="A67" s="258"/>
      <c r="B67" s="256"/>
      <c r="C67" s="270"/>
      <c r="D67" s="256"/>
      <c r="E67" s="256"/>
      <c r="F67" s="256"/>
      <c r="G67" s="261"/>
      <c r="H67" s="281"/>
      <c r="I67" s="256"/>
      <c r="J67" s="256"/>
      <c r="K67" s="258"/>
      <c r="L67" s="256"/>
      <c r="M67" s="256"/>
      <c r="N67" s="258"/>
      <c r="O67" s="258"/>
      <c r="P67" s="258"/>
      <c r="Q67" s="258"/>
      <c r="R67" s="258"/>
      <c r="S67" s="258"/>
      <c r="T67" s="258"/>
      <c r="U67" s="258"/>
    </row>
    <row r="68" spans="1:21" ht="99" customHeight="1">
      <c r="A68" s="258"/>
      <c r="B68" s="256"/>
      <c r="C68" s="270"/>
      <c r="D68" s="256"/>
      <c r="E68" s="256"/>
      <c r="F68" s="256"/>
      <c r="G68" s="261"/>
      <c r="H68" s="281"/>
      <c r="I68" s="256"/>
      <c r="J68" s="256"/>
      <c r="K68" s="258"/>
      <c r="L68" s="256"/>
      <c r="M68" s="256"/>
      <c r="N68" s="258"/>
      <c r="O68" s="258"/>
      <c r="P68" s="258"/>
      <c r="Q68" s="258"/>
      <c r="R68" s="258"/>
      <c r="S68" s="258"/>
      <c r="T68" s="258"/>
      <c r="U68" s="258"/>
    </row>
    <row r="69" spans="1:21" ht="99" customHeight="1">
      <c r="A69" s="258"/>
      <c r="B69" s="256"/>
      <c r="C69" s="270"/>
      <c r="D69" s="256"/>
      <c r="E69" s="256"/>
      <c r="F69" s="256"/>
      <c r="G69" s="261"/>
      <c r="H69" s="281"/>
      <c r="I69" s="256"/>
      <c r="J69" s="256"/>
      <c r="K69" s="258"/>
      <c r="L69" s="256"/>
      <c r="M69" s="256"/>
      <c r="N69" s="258"/>
      <c r="O69" s="258"/>
      <c r="P69" s="258"/>
      <c r="Q69" s="258"/>
      <c r="R69" s="258"/>
      <c r="S69" s="258"/>
      <c r="T69" s="258"/>
      <c r="U69" s="258"/>
    </row>
    <row r="70" spans="1:21" ht="99" customHeight="1">
      <c r="A70" s="258"/>
      <c r="B70" s="256"/>
      <c r="C70" s="270"/>
      <c r="D70" s="256"/>
      <c r="E70" s="256"/>
      <c r="F70" s="256"/>
      <c r="G70" s="261"/>
      <c r="H70" s="281"/>
      <c r="I70" s="256"/>
      <c r="J70" s="256"/>
      <c r="K70" s="258"/>
      <c r="L70" s="256"/>
      <c r="M70" s="256"/>
      <c r="N70" s="258"/>
      <c r="O70" s="258"/>
      <c r="P70" s="258"/>
      <c r="Q70" s="258"/>
      <c r="R70" s="258"/>
      <c r="S70" s="258"/>
      <c r="T70" s="258"/>
      <c r="U70" s="258"/>
    </row>
    <row r="71" spans="1:21" ht="99" customHeight="1">
      <c r="A71" s="258"/>
      <c r="B71" s="256"/>
      <c r="C71" s="270"/>
      <c r="D71" s="256"/>
      <c r="E71" s="256"/>
      <c r="F71" s="256"/>
      <c r="G71" s="261"/>
      <c r="H71" s="281"/>
      <c r="I71" s="256"/>
      <c r="J71" s="256"/>
      <c r="K71" s="258"/>
      <c r="L71" s="256"/>
      <c r="M71" s="256"/>
      <c r="N71" s="258"/>
      <c r="O71" s="258"/>
      <c r="P71" s="258"/>
      <c r="Q71" s="258"/>
      <c r="R71" s="258"/>
      <c r="S71" s="258"/>
      <c r="T71" s="258"/>
      <c r="U71" s="258"/>
    </row>
    <row r="72" spans="1:21" ht="99" customHeight="1">
      <c r="A72" s="258"/>
      <c r="B72" s="256"/>
      <c r="C72" s="270"/>
      <c r="D72" s="256"/>
      <c r="E72" s="256"/>
      <c r="F72" s="256"/>
      <c r="G72" s="261"/>
      <c r="H72" s="281"/>
      <c r="I72" s="256"/>
      <c r="J72" s="256"/>
      <c r="K72" s="258"/>
      <c r="L72" s="256"/>
      <c r="M72" s="256"/>
      <c r="N72" s="258"/>
      <c r="O72" s="258"/>
      <c r="P72" s="258"/>
      <c r="Q72" s="258"/>
      <c r="R72" s="258"/>
      <c r="S72" s="258"/>
      <c r="T72" s="258"/>
      <c r="U72" s="258"/>
    </row>
    <row r="73" spans="1:21" ht="99" customHeight="1">
      <c r="A73" s="258"/>
      <c r="B73" s="256"/>
      <c r="C73" s="270"/>
      <c r="D73" s="256"/>
      <c r="E73" s="256"/>
      <c r="F73" s="256"/>
      <c r="G73" s="261"/>
      <c r="H73" s="281"/>
      <c r="I73" s="256"/>
      <c r="J73" s="256"/>
      <c r="K73" s="258"/>
      <c r="L73" s="256"/>
      <c r="M73" s="256"/>
      <c r="N73" s="258"/>
      <c r="O73" s="258"/>
      <c r="P73" s="258"/>
      <c r="Q73" s="258"/>
      <c r="R73" s="258"/>
      <c r="S73" s="258"/>
      <c r="T73" s="258"/>
      <c r="U73" s="258"/>
    </row>
    <row r="74" spans="1:21" ht="99" customHeight="1">
      <c r="A74" s="258"/>
      <c r="B74" s="256"/>
      <c r="C74" s="270"/>
      <c r="D74" s="256"/>
      <c r="E74" s="256"/>
      <c r="F74" s="256"/>
      <c r="G74" s="261"/>
      <c r="H74" s="281"/>
      <c r="I74" s="256"/>
      <c r="J74" s="256"/>
      <c r="K74" s="258"/>
      <c r="L74" s="256"/>
      <c r="M74" s="256"/>
      <c r="N74" s="258"/>
      <c r="O74" s="258"/>
      <c r="P74" s="258"/>
      <c r="Q74" s="258"/>
      <c r="R74" s="258"/>
      <c r="S74" s="258"/>
      <c r="T74" s="258"/>
      <c r="U74" s="258"/>
    </row>
    <row r="75" spans="1:21" ht="99" customHeight="1">
      <c r="A75" s="258"/>
      <c r="B75" s="256"/>
      <c r="C75" s="270"/>
      <c r="D75" s="256"/>
      <c r="E75" s="256"/>
      <c r="F75" s="256"/>
      <c r="G75" s="261"/>
      <c r="H75" s="281"/>
      <c r="I75" s="256"/>
      <c r="J75" s="256"/>
      <c r="K75" s="258"/>
      <c r="L75" s="256"/>
      <c r="M75" s="256"/>
      <c r="N75" s="258"/>
      <c r="O75" s="258"/>
      <c r="P75" s="258"/>
      <c r="Q75" s="258"/>
      <c r="R75" s="258"/>
      <c r="S75" s="258"/>
      <c r="T75" s="258"/>
      <c r="U75" s="258"/>
    </row>
    <row r="76" spans="1:21" ht="99" customHeight="1">
      <c r="A76" s="258"/>
      <c r="B76" s="256"/>
      <c r="C76" s="270"/>
      <c r="D76" s="256"/>
      <c r="E76" s="256"/>
      <c r="F76" s="256"/>
      <c r="G76" s="261"/>
      <c r="H76" s="281"/>
      <c r="I76" s="256"/>
      <c r="J76" s="256"/>
      <c r="K76" s="258"/>
      <c r="L76" s="256"/>
      <c r="M76" s="256"/>
      <c r="N76" s="258"/>
      <c r="O76" s="258"/>
      <c r="P76" s="258"/>
      <c r="Q76" s="258"/>
      <c r="R76" s="258"/>
      <c r="S76" s="258"/>
      <c r="T76" s="258"/>
      <c r="U76" s="258"/>
    </row>
    <row r="77" spans="1:21" ht="99" customHeight="1">
      <c r="A77" s="258"/>
      <c r="B77" s="256"/>
      <c r="C77" s="270"/>
      <c r="D77" s="256"/>
      <c r="E77" s="256"/>
      <c r="F77" s="256"/>
      <c r="G77" s="261"/>
      <c r="H77" s="281"/>
      <c r="I77" s="256"/>
      <c r="J77" s="256"/>
      <c r="K77" s="258"/>
      <c r="L77" s="256"/>
      <c r="M77" s="256"/>
      <c r="N77" s="258"/>
      <c r="O77" s="258"/>
      <c r="P77" s="258"/>
      <c r="Q77" s="258"/>
      <c r="R77" s="258"/>
      <c r="S77" s="258"/>
      <c r="T77" s="258"/>
      <c r="U77" s="258"/>
    </row>
    <row r="78" spans="1:21" ht="99" customHeight="1">
      <c r="A78" s="258"/>
      <c r="B78" s="256"/>
      <c r="C78" s="270"/>
      <c r="D78" s="256"/>
      <c r="E78" s="256"/>
      <c r="F78" s="256"/>
      <c r="G78" s="261"/>
      <c r="H78" s="281"/>
      <c r="I78" s="256"/>
      <c r="J78" s="256"/>
      <c r="K78" s="258"/>
      <c r="L78" s="256"/>
      <c r="M78" s="256"/>
      <c r="N78" s="258"/>
      <c r="O78" s="258"/>
      <c r="P78" s="258"/>
      <c r="Q78" s="258"/>
      <c r="R78" s="258"/>
      <c r="S78" s="258"/>
      <c r="T78" s="258"/>
      <c r="U78" s="258"/>
    </row>
    <row r="79" spans="1:21" ht="99" customHeight="1">
      <c r="A79" s="258"/>
      <c r="B79" s="256"/>
      <c r="C79" s="270"/>
      <c r="D79" s="256"/>
      <c r="E79" s="256"/>
      <c r="F79" s="256"/>
      <c r="G79" s="261"/>
      <c r="H79" s="281"/>
      <c r="I79" s="256"/>
      <c r="J79" s="256"/>
      <c r="K79" s="258"/>
      <c r="L79" s="256"/>
      <c r="M79" s="256"/>
      <c r="N79" s="258"/>
      <c r="O79" s="258"/>
      <c r="P79" s="258"/>
      <c r="Q79" s="258"/>
      <c r="R79" s="258"/>
      <c r="S79" s="258"/>
      <c r="T79" s="258"/>
      <c r="U79" s="258"/>
    </row>
    <row r="80" spans="1:21" ht="99" customHeight="1">
      <c r="A80" s="258"/>
      <c r="B80" s="256"/>
      <c r="C80" s="270"/>
      <c r="D80" s="256"/>
      <c r="E80" s="256"/>
      <c r="F80" s="256"/>
      <c r="G80" s="261"/>
      <c r="H80" s="281"/>
      <c r="I80" s="256"/>
      <c r="J80" s="256"/>
      <c r="K80" s="258"/>
      <c r="L80" s="256"/>
      <c r="M80" s="256"/>
      <c r="N80" s="258"/>
      <c r="O80" s="258"/>
      <c r="P80" s="258"/>
      <c r="Q80" s="258"/>
      <c r="R80" s="258"/>
      <c r="S80" s="258"/>
      <c r="T80" s="258"/>
      <c r="U80" s="258"/>
    </row>
    <row r="81" spans="1:21" ht="99" customHeight="1">
      <c r="A81" s="258"/>
      <c r="B81" s="256"/>
      <c r="C81" s="270"/>
      <c r="D81" s="256"/>
      <c r="E81" s="256"/>
      <c r="F81" s="256"/>
      <c r="G81" s="261"/>
      <c r="H81" s="281"/>
      <c r="I81" s="256"/>
      <c r="J81" s="256"/>
      <c r="K81" s="258"/>
      <c r="L81" s="256"/>
      <c r="M81" s="256"/>
      <c r="N81" s="258"/>
      <c r="O81" s="258"/>
      <c r="P81" s="258"/>
      <c r="Q81" s="258"/>
      <c r="R81" s="258"/>
      <c r="S81" s="258"/>
      <c r="T81" s="258"/>
      <c r="U81" s="258"/>
    </row>
    <row r="82" spans="1:21" ht="99" customHeight="1">
      <c r="A82" s="258"/>
      <c r="B82" s="256"/>
      <c r="C82" s="270"/>
      <c r="D82" s="256"/>
      <c r="E82" s="256"/>
      <c r="F82" s="256"/>
      <c r="G82" s="261"/>
      <c r="H82" s="281"/>
      <c r="I82" s="256"/>
      <c r="J82" s="256"/>
      <c r="K82" s="258"/>
      <c r="L82" s="256"/>
      <c r="M82" s="256"/>
      <c r="N82" s="258"/>
      <c r="O82" s="258"/>
      <c r="P82" s="258"/>
      <c r="Q82" s="258"/>
      <c r="R82" s="258"/>
      <c r="S82" s="258"/>
      <c r="T82" s="258"/>
      <c r="U82" s="258"/>
    </row>
    <row r="83" spans="1:21" ht="99" customHeight="1">
      <c r="A83" s="258"/>
      <c r="B83" s="256"/>
      <c r="C83" s="270"/>
      <c r="D83" s="256"/>
      <c r="E83" s="256"/>
      <c r="F83" s="256"/>
      <c r="G83" s="261"/>
      <c r="H83" s="281"/>
      <c r="I83" s="256"/>
      <c r="J83" s="256"/>
      <c r="K83" s="258"/>
      <c r="L83" s="256"/>
      <c r="M83" s="256"/>
      <c r="N83" s="258"/>
      <c r="O83" s="258"/>
      <c r="P83" s="258"/>
      <c r="Q83" s="258"/>
      <c r="R83" s="258"/>
      <c r="S83" s="258"/>
      <c r="T83" s="258"/>
      <c r="U83" s="258"/>
    </row>
    <row r="84" spans="1:21" ht="99" customHeight="1">
      <c r="A84" s="258"/>
      <c r="B84" s="256"/>
      <c r="C84" s="270"/>
      <c r="D84" s="256"/>
      <c r="E84" s="256"/>
      <c r="F84" s="256"/>
      <c r="G84" s="261"/>
      <c r="H84" s="281"/>
      <c r="I84" s="256"/>
      <c r="J84" s="256"/>
      <c r="K84" s="258"/>
      <c r="L84" s="256"/>
      <c r="M84" s="256"/>
      <c r="N84" s="258"/>
      <c r="O84" s="258"/>
      <c r="P84" s="258"/>
      <c r="Q84" s="258"/>
      <c r="R84" s="258"/>
      <c r="S84" s="258"/>
      <c r="T84" s="258"/>
      <c r="U84" s="258"/>
    </row>
    <row r="85" spans="1:21" ht="99" customHeight="1">
      <c r="A85" s="258"/>
      <c r="B85" s="256"/>
      <c r="C85" s="270"/>
      <c r="D85" s="256"/>
      <c r="E85" s="256"/>
      <c r="F85" s="256"/>
      <c r="G85" s="261"/>
      <c r="H85" s="281"/>
      <c r="I85" s="256"/>
      <c r="J85" s="256"/>
      <c r="K85" s="258"/>
      <c r="L85" s="256"/>
      <c r="M85" s="256"/>
      <c r="N85" s="258"/>
      <c r="O85" s="258"/>
      <c r="P85" s="258"/>
      <c r="Q85" s="258"/>
      <c r="R85" s="258"/>
      <c r="S85" s="258"/>
      <c r="T85" s="258"/>
      <c r="U85" s="258"/>
    </row>
    <row r="86" spans="1:21" ht="99" customHeight="1">
      <c r="A86" s="258"/>
      <c r="B86" s="256"/>
      <c r="C86" s="270"/>
      <c r="D86" s="256"/>
      <c r="E86" s="256"/>
      <c r="F86" s="256"/>
      <c r="G86" s="261"/>
      <c r="H86" s="281"/>
      <c r="I86" s="256"/>
      <c r="J86" s="256"/>
      <c r="K86" s="258"/>
      <c r="L86" s="256"/>
      <c r="M86" s="256"/>
      <c r="N86" s="258"/>
      <c r="O86" s="258"/>
      <c r="P86" s="258"/>
      <c r="Q86" s="258"/>
      <c r="R86" s="258"/>
      <c r="S86" s="258"/>
      <c r="T86" s="258"/>
      <c r="U86" s="258"/>
    </row>
    <row r="87" spans="1:21" ht="99" customHeight="1">
      <c r="A87" s="258"/>
      <c r="B87" s="256"/>
      <c r="C87" s="270"/>
      <c r="D87" s="256"/>
      <c r="E87" s="256"/>
      <c r="F87" s="256"/>
      <c r="G87" s="261"/>
      <c r="H87" s="281"/>
      <c r="I87" s="256"/>
      <c r="J87" s="256"/>
      <c r="K87" s="258"/>
      <c r="L87" s="256"/>
      <c r="M87" s="256"/>
      <c r="N87" s="258"/>
      <c r="O87" s="258"/>
      <c r="P87" s="258"/>
      <c r="Q87" s="258"/>
      <c r="R87" s="258"/>
      <c r="S87" s="258"/>
      <c r="T87" s="258"/>
      <c r="U87" s="258"/>
    </row>
    <row r="88" spans="1:21" ht="99" customHeight="1">
      <c r="A88" s="258"/>
      <c r="B88" s="256"/>
      <c r="C88" s="270"/>
      <c r="D88" s="256"/>
      <c r="E88" s="256"/>
      <c r="F88" s="256"/>
      <c r="G88" s="261"/>
      <c r="H88" s="281"/>
      <c r="I88" s="256"/>
      <c r="J88" s="256"/>
      <c r="K88" s="258"/>
      <c r="L88" s="256"/>
      <c r="M88" s="256"/>
      <c r="N88" s="258"/>
      <c r="O88" s="258"/>
      <c r="P88" s="258"/>
      <c r="Q88" s="258"/>
      <c r="R88" s="258"/>
      <c r="S88" s="258"/>
      <c r="T88" s="258"/>
      <c r="U88" s="258"/>
    </row>
    <row r="89" spans="1:21" ht="99" customHeight="1">
      <c r="A89" s="258"/>
      <c r="B89" s="256"/>
      <c r="C89" s="270"/>
      <c r="D89" s="256"/>
      <c r="E89" s="256"/>
      <c r="F89" s="256"/>
      <c r="G89" s="261"/>
      <c r="H89" s="281"/>
      <c r="I89" s="256"/>
      <c r="J89" s="256"/>
      <c r="K89" s="258"/>
      <c r="L89" s="256"/>
      <c r="M89" s="256"/>
      <c r="N89" s="258"/>
      <c r="O89" s="258"/>
      <c r="P89" s="258"/>
      <c r="Q89" s="258"/>
      <c r="R89" s="258"/>
      <c r="S89" s="258"/>
      <c r="T89" s="258"/>
      <c r="U89" s="258"/>
    </row>
    <row r="90" spans="1:21" ht="99" customHeight="1">
      <c r="A90" s="258"/>
      <c r="B90" s="256"/>
      <c r="C90" s="270"/>
      <c r="D90" s="256"/>
      <c r="E90" s="256"/>
      <c r="F90" s="256"/>
      <c r="G90" s="261"/>
      <c r="H90" s="281"/>
      <c r="I90" s="256"/>
      <c r="J90" s="256"/>
      <c r="K90" s="258"/>
      <c r="L90" s="256"/>
      <c r="M90" s="256"/>
      <c r="N90" s="258"/>
      <c r="O90" s="258"/>
      <c r="P90" s="258"/>
      <c r="Q90" s="258"/>
      <c r="R90" s="258"/>
      <c r="S90" s="258"/>
      <c r="T90" s="258"/>
      <c r="U90" s="258"/>
    </row>
    <row r="91" spans="1:21" ht="99" customHeight="1">
      <c r="A91" s="258"/>
      <c r="B91" s="256"/>
      <c r="C91" s="270"/>
      <c r="D91" s="256"/>
      <c r="E91" s="256"/>
      <c r="F91" s="256"/>
      <c r="G91" s="261"/>
      <c r="H91" s="281"/>
      <c r="I91" s="256"/>
      <c r="J91" s="256"/>
      <c r="K91" s="258"/>
      <c r="L91" s="256"/>
      <c r="M91" s="256"/>
      <c r="N91" s="258"/>
      <c r="O91" s="258"/>
      <c r="P91" s="258"/>
      <c r="Q91" s="258"/>
      <c r="R91" s="258"/>
      <c r="S91" s="258"/>
      <c r="T91" s="258"/>
      <c r="U91" s="258"/>
    </row>
    <row r="92" spans="1:21" ht="99" customHeight="1">
      <c r="A92" s="258"/>
      <c r="B92" s="256"/>
      <c r="C92" s="270"/>
      <c r="D92" s="256"/>
      <c r="E92" s="256"/>
      <c r="F92" s="256"/>
      <c r="G92" s="261"/>
      <c r="H92" s="281"/>
      <c r="I92" s="256"/>
      <c r="J92" s="256"/>
      <c r="K92" s="258"/>
      <c r="L92" s="256"/>
      <c r="M92" s="256"/>
      <c r="N92" s="258"/>
      <c r="O92" s="258"/>
      <c r="P92" s="258"/>
      <c r="Q92" s="258"/>
      <c r="R92" s="258"/>
      <c r="S92" s="258"/>
      <c r="T92" s="258"/>
      <c r="U92" s="258"/>
    </row>
    <row r="93" spans="1:21" ht="99" customHeight="1">
      <c r="A93" s="258"/>
      <c r="B93" s="256"/>
      <c r="C93" s="270"/>
      <c r="D93" s="256"/>
      <c r="E93" s="256"/>
      <c r="F93" s="256"/>
      <c r="G93" s="261"/>
      <c r="H93" s="281"/>
      <c r="I93" s="256"/>
      <c r="J93" s="256"/>
      <c r="K93" s="258"/>
      <c r="L93" s="256"/>
      <c r="M93" s="256"/>
      <c r="N93" s="258"/>
      <c r="O93" s="258"/>
      <c r="P93" s="258"/>
      <c r="Q93" s="258"/>
      <c r="R93" s="258"/>
      <c r="S93" s="258"/>
      <c r="T93" s="258"/>
      <c r="U93" s="258"/>
    </row>
    <row r="94" spans="1:21" ht="99" customHeight="1">
      <c r="A94" s="258"/>
      <c r="B94" s="256"/>
      <c r="C94" s="270"/>
      <c r="D94" s="256"/>
      <c r="E94" s="256"/>
      <c r="F94" s="256"/>
      <c r="G94" s="261"/>
      <c r="H94" s="281"/>
      <c r="I94" s="256"/>
      <c r="J94" s="256"/>
      <c r="K94" s="258"/>
      <c r="L94" s="256"/>
      <c r="M94" s="256"/>
      <c r="N94" s="258"/>
      <c r="O94" s="258"/>
      <c r="P94" s="258"/>
      <c r="Q94" s="258"/>
      <c r="R94" s="258"/>
      <c r="S94" s="258"/>
      <c r="T94" s="258"/>
      <c r="U94" s="258"/>
    </row>
    <row r="95" spans="1:21" ht="99" customHeight="1">
      <c r="A95" s="258"/>
      <c r="B95" s="256"/>
      <c r="C95" s="270"/>
      <c r="D95" s="256"/>
      <c r="E95" s="256"/>
      <c r="F95" s="256"/>
      <c r="G95" s="261"/>
      <c r="H95" s="281"/>
      <c r="I95" s="256"/>
      <c r="J95" s="256"/>
      <c r="K95" s="258"/>
      <c r="L95" s="256"/>
      <c r="M95" s="256"/>
      <c r="N95" s="258"/>
      <c r="O95" s="258"/>
      <c r="P95" s="258"/>
      <c r="Q95" s="258"/>
      <c r="R95" s="258"/>
      <c r="S95" s="258"/>
      <c r="T95" s="258"/>
      <c r="U95" s="258"/>
    </row>
    <row r="96" spans="1:21" ht="99" customHeight="1">
      <c r="A96" s="258"/>
      <c r="B96" s="256"/>
      <c r="C96" s="270"/>
      <c r="D96" s="256"/>
      <c r="E96" s="256"/>
      <c r="F96" s="256"/>
      <c r="G96" s="261"/>
      <c r="H96" s="281"/>
      <c r="I96" s="256"/>
      <c r="J96" s="256"/>
      <c r="K96" s="258"/>
      <c r="L96" s="256"/>
      <c r="M96" s="256"/>
      <c r="N96" s="258"/>
      <c r="O96" s="258"/>
      <c r="P96" s="258"/>
      <c r="Q96" s="258"/>
      <c r="R96" s="258"/>
      <c r="S96" s="258"/>
      <c r="T96" s="258"/>
      <c r="U96" s="258"/>
    </row>
    <row r="97" spans="1:21" ht="99" customHeight="1">
      <c r="A97" s="258"/>
      <c r="B97" s="256"/>
      <c r="C97" s="270"/>
      <c r="D97" s="256"/>
      <c r="E97" s="256"/>
      <c r="F97" s="256"/>
      <c r="G97" s="261"/>
      <c r="H97" s="281"/>
      <c r="I97" s="256"/>
      <c r="J97" s="256"/>
      <c r="K97" s="258"/>
      <c r="L97" s="256"/>
      <c r="M97" s="256"/>
      <c r="N97" s="258"/>
      <c r="O97" s="258"/>
      <c r="P97" s="258"/>
      <c r="Q97" s="258"/>
      <c r="R97" s="258"/>
      <c r="S97" s="258"/>
      <c r="T97" s="258"/>
      <c r="U97" s="258"/>
    </row>
    <row r="98" spans="1:21" ht="99" customHeight="1">
      <c r="A98" s="258"/>
      <c r="B98" s="256"/>
      <c r="C98" s="270"/>
      <c r="D98" s="256"/>
      <c r="E98" s="256"/>
      <c r="F98" s="256"/>
      <c r="G98" s="261"/>
      <c r="H98" s="281"/>
      <c r="I98" s="256"/>
      <c r="J98" s="256"/>
      <c r="K98" s="258"/>
      <c r="L98" s="256"/>
      <c r="M98" s="256"/>
      <c r="N98" s="258"/>
      <c r="O98" s="258"/>
      <c r="P98" s="258"/>
      <c r="Q98" s="258"/>
      <c r="R98" s="258"/>
      <c r="S98" s="258"/>
      <c r="T98" s="258"/>
      <c r="U98" s="258"/>
    </row>
    <row r="99" spans="1:21" ht="99" customHeight="1">
      <c r="A99" s="258"/>
      <c r="B99" s="256"/>
      <c r="C99" s="270"/>
      <c r="D99" s="256"/>
      <c r="E99" s="256"/>
      <c r="F99" s="256"/>
      <c r="G99" s="261"/>
      <c r="H99" s="281"/>
      <c r="I99" s="256"/>
      <c r="J99" s="256"/>
      <c r="K99" s="258"/>
      <c r="L99" s="256"/>
      <c r="M99" s="256"/>
      <c r="N99" s="258"/>
      <c r="O99" s="258"/>
      <c r="P99" s="258"/>
      <c r="Q99" s="258"/>
      <c r="R99" s="258"/>
      <c r="S99" s="258"/>
      <c r="T99" s="258"/>
      <c r="U99" s="258"/>
    </row>
    <row r="100" spans="1:21" ht="99" customHeight="1">
      <c r="A100" s="258"/>
      <c r="B100" s="256"/>
      <c r="C100" s="270"/>
      <c r="D100" s="256"/>
      <c r="E100" s="256"/>
      <c r="F100" s="256"/>
      <c r="G100" s="261"/>
      <c r="H100" s="281"/>
      <c r="I100" s="256"/>
      <c r="J100" s="256"/>
      <c r="K100" s="258"/>
      <c r="L100" s="256"/>
      <c r="M100" s="256"/>
      <c r="N100" s="258"/>
      <c r="O100" s="258"/>
      <c r="P100" s="258"/>
      <c r="Q100" s="258"/>
      <c r="R100" s="258"/>
      <c r="S100" s="258"/>
      <c r="T100" s="258"/>
      <c r="U100" s="258"/>
    </row>
    <row r="101" spans="1:21" ht="99" customHeight="1">
      <c r="A101" s="258"/>
      <c r="B101" s="256"/>
      <c r="C101" s="270"/>
      <c r="D101" s="256"/>
      <c r="E101" s="256"/>
      <c r="F101" s="256"/>
      <c r="G101" s="261"/>
      <c r="H101" s="281"/>
      <c r="I101" s="256"/>
      <c r="J101" s="256"/>
      <c r="K101" s="258"/>
      <c r="L101" s="256"/>
      <c r="M101" s="256"/>
      <c r="N101" s="258"/>
      <c r="O101" s="258"/>
      <c r="P101" s="258"/>
      <c r="Q101" s="258"/>
      <c r="R101" s="258"/>
      <c r="S101" s="258"/>
      <c r="T101" s="258"/>
      <c r="U101" s="258"/>
    </row>
    <row r="102" spans="1:21" ht="99" customHeight="1">
      <c r="A102" s="258"/>
      <c r="B102" s="256"/>
      <c r="C102" s="270"/>
      <c r="D102" s="256"/>
      <c r="E102" s="256"/>
      <c r="F102" s="256"/>
      <c r="G102" s="261"/>
      <c r="H102" s="281"/>
      <c r="I102" s="256"/>
      <c r="J102" s="256"/>
      <c r="K102" s="258"/>
      <c r="L102" s="256"/>
      <c r="M102" s="256"/>
      <c r="N102" s="258"/>
      <c r="O102" s="258"/>
      <c r="P102" s="258"/>
      <c r="Q102" s="258"/>
      <c r="R102" s="258"/>
      <c r="S102" s="258"/>
      <c r="T102" s="258"/>
      <c r="U102" s="258"/>
    </row>
    <row r="103" spans="1:21" ht="99" customHeight="1">
      <c r="A103" s="258"/>
      <c r="B103" s="256"/>
      <c r="C103" s="270"/>
      <c r="D103" s="256"/>
      <c r="E103" s="256"/>
      <c r="F103" s="256"/>
      <c r="G103" s="261"/>
      <c r="H103" s="281"/>
      <c r="I103" s="256"/>
      <c r="J103" s="256"/>
      <c r="K103" s="258"/>
      <c r="L103" s="256"/>
      <c r="M103" s="256"/>
      <c r="N103" s="258"/>
      <c r="O103" s="258"/>
      <c r="P103" s="258"/>
      <c r="Q103" s="258"/>
      <c r="R103" s="258"/>
      <c r="S103" s="258"/>
      <c r="T103" s="258"/>
      <c r="U103" s="258"/>
    </row>
    <row r="104" spans="1:21" ht="99" customHeight="1">
      <c r="A104" s="258"/>
      <c r="B104" s="256"/>
      <c r="C104" s="270"/>
      <c r="D104" s="256"/>
      <c r="E104" s="256"/>
      <c r="F104" s="256"/>
      <c r="G104" s="261"/>
      <c r="H104" s="281"/>
      <c r="I104" s="256"/>
      <c r="J104" s="256"/>
      <c r="K104" s="258"/>
      <c r="L104" s="256"/>
      <c r="M104" s="256"/>
      <c r="N104" s="258"/>
      <c r="O104" s="258"/>
      <c r="P104" s="258"/>
      <c r="Q104" s="258"/>
      <c r="R104" s="258"/>
      <c r="S104" s="258"/>
      <c r="T104" s="258"/>
      <c r="U104" s="258"/>
    </row>
    <row r="105" spans="1:21" ht="99" customHeight="1">
      <c r="A105" s="258"/>
      <c r="B105" s="256"/>
      <c r="C105" s="270"/>
      <c r="D105" s="256"/>
      <c r="E105" s="256"/>
      <c r="F105" s="256"/>
      <c r="G105" s="261"/>
      <c r="H105" s="281"/>
      <c r="I105" s="256"/>
      <c r="J105" s="256"/>
      <c r="K105" s="258"/>
      <c r="L105" s="256"/>
      <c r="M105" s="256"/>
      <c r="N105" s="258"/>
      <c r="O105" s="258"/>
      <c r="P105" s="258"/>
      <c r="Q105" s="258"/>
      <c r="R105" s="258"/>
      <c r="S105" s="258"/>
      <c r="T105" s="258"/>
      <c r="U105" s="258"/>
    </row>
    <row r="106" spans="1:21" ht="99" customHeight="1">
      <c r="A106" s="258"/>
      <c r="B106" s="256"/>
      <c r="C106" s="270"/>
      <c r="D106" s="256"/>
      <c r="E106" s="256"/>
      <c r="F106" s="256"/>
      <c r="G106" s="261"/>
      <c r="H106" s="281"/>
      <c r="I106" s="256"/>
      <c r="J106" s="256"/>
      <c r="K106" s="258"/>
      <c r="L106" s="256"/>
      <c r="M106" s="256"/>
      <c r="N106" s="258"/>
      <c r="O106" s="258"/>
      <c r="P106" s="258"/>
      <c r="Q106" s="258"/>
      <c r="R106" s="258"/>
      <c r="S106" s="258"/>
      <c r="T106" s="258"/>
      <c r="U106" s="258"/>
    </row>
    <row r="107" spans="1:21" ht="99" customHeight="1">
      <c r="A107" s="258"/>
      <c r="B107" s="256"/>
      <c r="C107" s="270"/>
      <c r="D107" s="256"/>
      <c r="E107" s="256"/>
      <c r="F107" s="256"/>
      <c r="G107" s="261"/>
      <c r="H107" s="281"/>
      <c r="I107" s="256"/>
      <c r="J107" s="256"/>
      <c r="K107" s="258"/>
      <c r="L107" s="256"/>
      <c r="M107" s="256"/>
      <c r="N107" s="258"/>
      <c r="O107" s="258"/>
      <c r="P107" s="258"/>
      <c r="Q107" s="258"/>
      <c r="R107" s="258"/>
      <c r="S107" s="258"/>
      <c r="T107" s="258"/>
      <c r="U107" s="258"/>
    </row>
    <row r="108" spans="1:21" ht="99" customHeight="1">
      <c r="A108" s="258"/>
      <c r="B108" s="256"/>
      <c r="C108" s="270"/>
      <c r="D108" s="256"/>
      <c r="E108" s="256"/>
      <c r="F108" s="256"/>
      <c r="G108" s="261"/>
      <c r="H108" s="281"/>
      <c r="I108" s="256"/>
      <c r="J108" s="256"/>
      <c r="K108" s="258"/>
      <c r="L108" s="256"/>
      <c r="M108" s="256"/>
      <c r="N108" s="258"/>
      <c r="O108" s="258"/>
      <c r="P108" s="258"/>
      <c r="Q108" s="258"/>
      <c r="R108" s="258"/>
      <c r="S108" s="258"/>
      <c r="T108" s="258"/>
      <c r="U108" s="258"/>
    </row>
    <row r="109" spans="1:21" ht="99" customHeight="1">
      <c r="A109" s="258"/>
      <c r="B109" s="256"/>
      <c r="C109" s="270"/>
      <c r="D109" s="256"/>
      <c r="E109" s="256"/>
      <c r="F109" s="256"/>
      <c r="G109" s="261"/>
      <c r="H109" s="281"/>
      <c r="I109" s="256"/>
      <c r="J109" s="256"/>
      <c r="K109" s="258"/>
      <c r="L109" s="256"/>
      <c r="M109" s="256"/>
      <c r="N109" s="258"/>
      <c r="O109" s="258"/>
      <c r="P109" s="258"/>
      <c r="Q109" s="258"/>
      <c r="R109" s="258"/>
      <c r="S109" s="258"/>
      <c r="T109" s="258"/>
      <c r="U109" s="258"/>
    </row>
    <row r="110" spans="1:21" ht="99" customHeight="1">
      <c r="A110" s="258"/>
      <c r="B110" s="256"/>
      <c r="C110" s="270"/>
      <c r="D110" s="256"/>
      <c r="E110" s="256"/>
      <c r="F110" s="256"/>
      <c r="G110" s="261"/>
      <c r="H110" s="281"/>
      <c r="I110" s="256"/>
      <c r="J110" s="256"/>
      <c r="K110" s="258"/>
      <c r="L110" s="256"/>
      <c r="M110" s="256"/>
      <c r="N110" s="258"/>
      <c r="O110" s="258"/>
      <c r="P110" s="258"/>
      <c r="Q110" s="258"/>
      <c r="R110" s="258"/>
      <c r="S110" s="258"/>
      <c r="T110" s="258"/>
      <c r="U110" s="258"/>
    </row>
    <row r="111" spans="1:21" ht="99" customHeight="1">
      <c r="A111" s="258"/>
      <c r="B111" s="256"/>
      <c r="C111" s="270"/>
      <c r="D111" s="256"/>
      <c r="E111" s="256"/>
      <c r="F111" s="256"/>
      <c r="G111" s="261"/>
      <c r="H111" s="281"/>
      <c r="I111" s="256"/>
      <c r="J111" s="256"/>
      <c r="K111" s="258"/>
      <c r="L111" s="256"/>
      <c r="M111" s="256"/>
      <c r="N111" s="258"/>
      <c r="O111" s="258"/>
      <c r="P111" s="258"/>
      <c r="Q111" s="258"/>
      <c r="R111" s="258"/>
      <c r="S111" s="258"/>
      <c r="T111" s="258"/>
      <c r="U111" s="258"/>
    </row>
    <row r="112" spans="1:21" ht="99" customHeight="1">
      <c r="A112" s="258"/>
      <c r="B112" s="256"/>
      <c r="C112" s="270"/>
      <c r="D112" s="256"/>
      <c r="E112" s="256"/>
      <c r="F112" s="256"/>
      <c r="G112" s="261"/>
      <c r="H112" s="281"/>
      <c r="I112" s="256"/>
      <c r="J112" s="256"/>
      <c r="K112" s="258"/>
      <c r="L112" s="256"/>
      <c r="M112" s="256"/>
      <c r="N112" s="258"/>
      <c r="O112" s="258"/>
      <c r="P112" s="258"/>
      <c r="Q112" s="258"/>
      <c r="R112" s="258"/>
      <c r="S112" s="258"/>
      <c r="T112" s="258"/>
      <c r="U112" s="258"/>
    </row>
    <row r="113" spans="1:21" ht="99" customHeight="1">
      <c r="A113" s="258"/>
      <c r="B113" s="256"/>
      <c r="C113" s="270"/>
      <c r="D113" s="256"/>
      <c r="E113" s="256"/>
      <c r="F113" s="256"/>
      <c r="G113" s="261"/>
      <c r="H113" s="281"/>
      <c r="I113" s="256"/>
      <c r="J113" s="256"/>
      <c r="K113" s="258"/>
      <c r="L113" s="256"/>
      <c r="M113" s="256"/>
      <c r="N113" s="258"/>
      <c r="O113" s="258"/>
      <c r="P113" s="258"/>
      <c r="Q113" s="258"/>
      <c r="R113" s="258"/>
      <c r="S113" s="258"/>
      <c r="T113" s="258"/>
      <c r="U113" s="258"/>
    </row>
    <row r="114" spans="1:21" ht="99" customHeight="1">
      <c r="A114" s="258"/>
      <c r="B114" s="256"/>
      <c r="C114" s="270"/>
      <c r="D114" s="256"/>
      <c r="E114" s="256"/>
      <c r="F114" s="256"/>
      <c r="G114" s="261"/>
      <c r="H114" s="281"/>
      <c r="I114" s="256"/>
      <c r="J114" s="256"/>
      <c r="K114" s="258"/>
      <c r="L114" s="256"/>
      <c r="M114" s="256"/>
      <c r="N114" s="258"/>
      <c r="O114" s="258"/>
      <c r="P114" s="258"/>
      <c r="Q114" s="258"/>
      <c r="R114" s="258"/>
      <c r="S114" s="258"/>
      <c r="T114" s="258"/>
      <c r="U114" s="258"/>
    </row>
    <row r="115" spans="1:21" ht="99" customHeight="1">
      <c r="A115" s="258"/>
      <c r="B115" s="256"/>
      <c r="C115" s="270"/>
      <c r="D115" s="256"/>
      <c r="E115" s="256"/>
      <c r="F115" s="256"/>
      <c r="G115" s="261"/>
      <c r="H115" s="281"/>
      <c r="I115" s="256"/>
      <c r="J115" s="256"/>
      <c r="K115" s="258"/>
      <c r="L115" s="256"/>
      <c r="M115" s="256"/>
      <c r="N115" s="258"/>
      <c r="O115" s="258"/>
      <c r="P115" s="258"/>
      <c r="Q115" s="258"/>
      <c r="R115" s="258"/>
      <c r="S115" s="258"/>
      <c r="T115" s="258"/>
      <c r="U115" s="258"/>
    </row>
    <row r="116" spans="1:21" ht="99" customHeight="1">
      <c r="A116" s="258"/>
      <c r="B116" s="256"/>
      <c r="C116" s="270"/>
      <c r="D116" s="256"/>
      <c r="E116" s="256"/>
      <c r="F116" s="256"/>
      <c r="G116" s="261"/>
      <c r="H116" s="281"/>
      <c r="I116" s="256"/>
      <c r="J116" s="256"/>
      <c r="K116" s="258"/>
      <c r="L116" s="256"/>
      <c r="M116" s="256"/>
      <c r="N116" s="258"/>
      <c r="O116" s="258"/>
      <c r="P116" s="258"/>
      <c r="Q116" s="258"/>
      <c r="R116" s="258"/>
      <c r="S116" s="258"/>
      <c r="T116" s="258"/>
      <c r="U116" s="258"/>
    </row>
    <row r="117" spans="1:21" ht="99" customHeight="1">
      <c r="A117" s="258"/>
      <c r="B117" s="256"/>
      <c r="C117" s="270"/>
      <c r="D117" s="256"/>
      <c r="E117" s="256"/>
      <c r="F117" s="256"/>
      <c r="G117" s="261"/>
      <c r="H117" s="281"/>
      <c r="I117" s="256"/>
      <c r="J117" s="256"/>
      <c r="K117" s="258"/>
      <c r="L117" s="256"/>
      <c r="M117" s="256"/>
      <c r="N117" s="258"/>
      <c r="O117" s="258"/>
      <c r="P117" s="258"/>
      <c r="Q117" s="258"/>
      <c r="R117" s="258"/>
      <c r="S117" s="258"/>
      <c r="T117" s="258"/>
      <c r="U117" s="258"/>
    </row>
    <row r="118" spans="1:21" ht="99" customHeight="1">
      <c r="A118" s="258"/>
      <c r="B118" s="256"/>
      <c r="C118" s="270"/>
      <c r="D118" s="256"/>
      <c r="E118" s="256"/>
      <c r="F118" s="256"/>
      <c r="G118" s="261"/>
      <c r="H118" s="281"/>
      <c r="I118" s="256"/>
      <c r="J118" s="256"/>
      <c r="K118" s="258"/>
      <c r="L118" s="256"/>
      <c r="M118" s="256"/>
      <c r="N118" s="258"/>
      <c r="O118" s="258"/>
      <c r="P118" s="258"/>
      <c r="Q118" s="258"/>
      <c r="R118" s="258"/>
      <c r="S118" s="258"/>
      <c r="T118" s="258"/>
      <c r="U118" s="258"/>
    </row>
    <row r="119" spans="1:21" ht="99" customHeight="1">
      <c r="A119" s="258"/>
      <c r="B119" s="256"/>
      <c r="C119" s="270"/>
      <c r="D119" s="256"/>
      <c r="E119" s="256"/>
      <c r="F119" s="256"/>
      <c r="G119" s="261"/>
      <c r="H119" s="281"/>
      <c r="I119" s="256"/>
      <c r="J119" s="256"/>
      <c r="K119" s="258"/>
      <c r="L119" s="256"/>
      <c r="M119" s="256"/>
      <c r="N119" s="258"/>
      <c r="O119" s="258"/>
      <c r="P119" s="258"/>
      <c r="Q119" s="258"/>
      <c r="R119" s="258"/>
      <c r="S119" s="258"/>
      <c r="T119" s="258"/>
      <c r="U119" s="258"/>
    </row>
    <row r="120" spans="1:21" ht="99" customHeight="1">
      <c r="A120" s="258"/>
      <c r="B120" s="256"/>
      <c r="C120" s="270"/>
      <c r="D120" s="256"/>
      <c r="E120" s="256"/>
      <c r="F120" s="256"/>
      <c r="G120" s="261"/>
      <c r="H120" s="281"/>
      <c r="I120" s="256"/>
      <c r="J120" s="256"/>
      <c r="K120" s="258"/>
      <c r="L120" s="256"/>
      <c r="M120" s="256"/>
      <c r="N120" s="258"/>
      <c r="O120" s="258"/>
      <c r="P120" s="258"/>
      <c r="Q120" s="258"/>
      <c r="R120" s="258"/>
      <c r="S120" s="258"/>
      <c r="T120" s="258"/>
      <c r="U120" s="258"/>
    </row>
    <row r="121" spans="1:21" ht="99" customHeight="1">
      <c r="A121" s="258"/>
      <c r="B121" s="256"/>
      <c r="C121" s="270"/>
      <c r="D121" s="256"/>
      <c r="E121" s="256"/>
      <c r="F121" s="256"/>
      <c r="G121" s="261"/>
      <c r="H121" s="281"/>
      <c r="I121" s="256"/>
      <c r="J121" s="256"/>
      <c r="K121" s="258"/>
      <c r="L121" s="256"/>
      <c r="M121" s="256"/>
      <c r="N121" s="258"/>
      <c r="O121" s="258"/>
      <c r="P121" s="258"/>
      <c r="Q121" s="258"/>
      <c r="R121" s="258"/>
      <c r="S121" s="258"/>
      <c r="T121" s="258"/>
      <c r="U121" s="258"/>
    </row>
    <row r="122" spans="1:21" ht="99" customHeight="1">
      <c r="A122" s="258"/>
      <c r="B122" s="256"/>
      <c r="C122" s="270"/>
      <c r="D122" s="256"/>
      <c r="E122" s="256"/>
      <c r="F122" s="256"/>
      <c r="G122" s="261"/>
      <c r="H122" s="281"/>
      <c r="I122" s="256"/>
      <c r="J122" s="256"/>
      <c r="K122" s="258"/>
      <c r="L122" s="256"/>
      <c r="M122" s="256"/>
      <c r="N122" s="258"/>
      <c r="O122" s="258"/>
      <c r="P122" s="258"/>
      <c r="Q122" s="258"/>
      <c r="R122" s="258"/>
      <c r="S122" s="258"/>
      <c r="T122" s="258"/>
      <c r="U122" s="258"/>
    </row>
    <row r="123" spans="1:21" ht="99" customHeight="1">
      <c r="A123" s="258"/>
      <c r="B123" s="256"/>
      <c r="C123" s="270"/>
      <c r="D123" s="256"/>
      <c r="E123" s="256"/>
      <c r="F123" s="256"/>
      <c r="G123" s="261"/>
      <c r="H123" s="281"/>
      <c r="I123" s="256"/>
      <c r="J123" s="256"/>
      <c r="K123" s="258"/>
      <c r="L123" s="256"/>
      <c r="M123" s="256"/>
      <c r="N123" s="258"/>
      <c r="O123" s="258"/>
      <c r="P123" s="258"/>
      <c r="Q123" s="258"/>
      <c r="R123" s="258"/>
      <c r="S123" s="258"/>
      <c r="T123" s="258"/>
      <c r="U123" s="258"/>
    </row>
    <row r="124" spans="1:21" ht="99" customHeight="1">
      <c r="A124" s="258"/>
      <c r="B124" s="256"/>
      <c r="C124" s="270"/>
      <c r="D124" s="256"/>
      <c r="E124" s="256"/>
      <c r="F124" s="256"/>
      <c r="G124" s="261"/>
      <c r="H124" s="281"/>
      <c r="I124" s="256"/>
      <c r="J124" s="256"/>
      <c r="K124" s="258"/>
      <c r="L124" s="256"/>
      <c r="M124" s="256"/>
      <c r="N124" s="258"/>
      <c r="O124" s="258"/>
      <c r="P124" s="258"/>
      <c r="Q124" s="258"/>
      <c r="R124" s="258"/>
      <c r="S124" s="258"/>
      <c r="T124" s="258"/>
      <c r="U124" s="258"/>
    </row>
    <row r="125" spans="1:21" ht="99" customHeight="1">
      <c r="A125" s="258"/>
      <c r="B125" s="256"/>
      <c r="C125" s="270"/>
      <c r="D125" s="256"/>
      <c r="E125" s="256"/>
      <c r="F125" s="256"/>
      <c r="G125" s="261"/>
      <c r="H125" s="281"/>
      <c r="I125" s="256"/>
      <c r="J125" s="256"/>
      <c r="K125" s="258"/>
      <c r="L125" s="256"/>
      <c r="M125" s="256"/>
      <c r="N125" s="258"/>
      <c r="O125" s="258"/>
      <c r="P125" s="258"/>
      <c r="Q125" s="258"/>
      <c r="R125" s="258"/>
      <c r="S125" s="258"/>
      <c r="T125" s="258"/>
      <c r="U125" s="258"/>
    </row>
    <row r="126" spans="1:21" ht="99" customHeight="1">
      <c r="A126" s="258"/>
      <c r="B126" s="256"/>
      <c r="C126" s="270"/>
      <c r="D126" s="256"/>
      <c r="E126" s="256"/>
      <c r="F126" s="256"/>
      <c r="G126" s="261"/>
      <c r="H126" s="281"/>
      <c r="I126" s="256"/>
      <c r="J126" s="256"/>
      <c r="K126" s="258"/>
      <c r="L126" s="256"/>
      <c r="M126" s="256"/>
      <c r="N126" s="258"/>
      <c r="O126" s="258"/>
      <c r="P126" s="258"/>
      <c r="Q126" s="258"/>
      <c r="R126" s="258"/>
      <c r="S126" s="258"/>
      <c r="T126" s="258"/>
      <c r="U126" s="258"/>
    </row>
    <row r="127" spans="1:21" ht="99" customHeight="1">
      <c r="A127" s="258"/>
      <c r="B127" s="256"/>
      <c r="C127" s="270"/>
      <c r="D127" s="256"/>
      <c r="E127" s="256"/>
      <c r="F127" s="256"/>
      <c r="G127" s="261"/>
      <c r="H127" s="281"/>
      <c r="I127" s="256"/>
      <c r="J127" s="256"/>
      <c r="K127" s="258"/>
      <c r="L127" s="256"/>
      <c r="M127" s="256"/>
      <c r="N127" s="258"/>
      <c r="O127" s="258"/>
      <c r="P127" s="258"/>
      <c r="Q127" s="258"/>
      <c r="R127" s="258"/>
      <c r="S127" s="258"/>
      <c r="T127" s="258"/>
      <c r="U127" s="258"/>
    </row>
    <row r="128" spans="1:21" ht="99" customHeight="1">
      <c r="A128" s="258"/>
      <c r="B128" s="256"/>
      <c r="C128" s="270"/>
      <c r="D128" s="256"/>
      <c r="E128" s="256"/>
      <c r="F128" s="256"/>
      <c r="G128" s="261"/>
      <c r="H128" s="281"/>
      <c r="I128" s="256"/>
      <c r="J128" s="256"/>
      <c r="K128" s="258"/>
      <c r="L128" s="256"/>
      <c r="M128" s="256"/>
      <c r="N128" s="258"/>
      <c r="O128" s="258"/>
      <c r="P128" s="258"/>
      <c r="Q128" s="258"/>
      <c r="R128" s="258"/>
      <c r="S128" s="258"/>
      <c r="T128" s="258"/>
      <c r="U128" s="258"/>
    </row>
    <row r="129" spans="1:21" ht="99" customHeight="1">
      <c r="A129" s="258"/>
      <c r="B129" s="256"/>
      <c r="C129" s="270"/>
      <c r="D129" s="256"/>
      <c r="E129" s="256"/>
      <c r="F129" s="256"/>
      <c r="G129" s="261"/>
      <c r="H129" s="281"/>
      <c r="I129" s="256"/>
      <c r="J129" s="256"/>
      <c r="K129" s="258"/>
      <c r="L129" s="256"/>
      <c r="M129" s="256"/>
      <c r="N129" s="258"/>
      <c r="O129" s="258"/>
      <c r="P129" s="258"/>
      <c r="Q129" s="258"/>
      <c r="R129" s="258"/>
      <c r="S129" s="258"/>
      <c r="T129" s="258"/>
      <c r="U129" s="258"/>
    </row>
    <row r="130" spans="1:21" ht="99" customHeight="1">
      <c r="A130" s="258"/>
      <c r="B130" s="256"/>
      <c r="C130" s="270"/>
      <c r="D130" s="256"/>
      <c r="E130" s="256"/>
      <c r="F130" s="256"/>
      <c r="G130" s="261"/>
      <c r="H130" s="281"/>
      <c r="I130" s="256"/>
      <c r="J130" s="256"/>
      <c r="K130" s="258"/>
      <c r="L130" s="256"/>
      <c r="M130" s="256"/>
      <c r="N130" s="258"/>
      <c r="O130" s="258"/>
      <c r="P130" s="258"/>
      <c r="Q130" s="258"/>
      <c r="R130" s="258"/>
      <c r="S130" s="258"/>
      <c r="T130" s="258"/>
      <c r="U130" s="258"/>
    </row>
    <row r="131" spans="1:21" ht="99" customHeight="1">
      <c r="A131" s="258"/>
      <c r="B131" s="256"/>
      <c r="C131" s="270"/>
      <c r="D131" s="256"/>
      <c r="E131" s="256"/>
      <c r="F131" s="256"/>
      <c r="G131" s="261"/>
      <c r="H131" s="281"/>
      <c r="I131" s="256"/>
      <c r="J131" s="256"/>
      <c r="K131" s="258"/>
      <c r="L131" s="256"/>
      <c r="M131" s="256"/>
      <c r="N131" s="258"/>
      <c r="O131" s="258"/>
      <c r="P131" s="258"/>
      <c r="Q131" s="258"/>
      <c r="R131" s="258"/>
      <c r="S131" s="258"/>
      <c r="T131" s="258"/>
      <c r="U131" s="258"/>
    </row>
    <row r="132" spans="1:21" ht="99" customHeight="1">
      <c r="A132" s="258"/>
      <c r="B132" s="256"/>
      <c r="C132" s="270"/>
      <c r="D132" s="256"/>
      <c r="E132" s="256"/>
      <c r="F132" s="256"/>
      <c r="G132" s="261"/>
      <c r="H132" s="281"/>
      <c r="I132" s="256"/>
      <c r="J132" s="256"/>
      <c r="K132" s="258"/>
      <c r="L132" s="256"/>
      <c r="M132" s="256"/>
      <c r="N132" s="258"/>
      <c r="O132" s="258"/>
      <c r="P132" s="258"/>
      <c r="Q132" s="258"/>
      <c r="R132" s="258"/>
      <c r="S132" s="258"/>
      <c r="T132" s="258"/>
      <c r="U132" s="258"/>
    </row>
    <row r="133" spans="1:21" ht="99" customHeight="1">
      <c r="A133" s="258"/>
      <c r="B133" s="256"/>
      <c r="C133" s="270"/>
      <c r="D133" s="256"/>
      <c r="E133" s="256"/>
      <c r="F133" s="256"/>
      <c r="G133" s="261"/>
      <c r="H133" s="281"/>
      <c r="I133" s="256"/>
      <c r="J133" s="256"/>
      <c r="K133" s="258"/>
      <c r="L133" s="256"/>
      <c r="M133" s="256"/>
      <c r="N133" s="258"/>
      <c r="O133" s="258"/>
      <c r="P133" s="258"/>
      <c r="Q133" s="258"/>
      <c r="R133" s="258"/>
      <c r="S133" s="258"/>
      <c r="T133" s="258"/>
      <c r="U133" s="258"/>
    </row>
    <row r="134" spans="1:21" ht="99" customHeight="1">
      <c r="A134" s="258"/>
      <c r="B134" s="256"/>
      <c r="C134" s="270"/>
      <c r="D134" s="256"/>
      <c r="E134" s="256"/>
      <c r="F134" s="256"/>
      <c r="G134" s="261"/>
      <c r="H134" s="281"/>
      <c r="I134" s="256"/>
      <c r="J134" s="256"/>
      <c r="K134" s="258"/>
      <c r="L134" s="256"/>
      <c r="M134" s="256"/>
      <c r="N134" s="258"/>
      <c r="O134" s="258"/>
      <c r="P134" s="258"/>
      <c r="Q134" s="258"/>
      <c r="R134" s="258"/>
      <c r="S134" s="258"/>
      <c r="T134" s="258"/>
      <c r="U134" s="258"/>
    </row>
    <row r="135" spans="1:21" ht="99" customHeight="1">
      <c r="A135" s="258"/>
      <c r="B135" s="256"/>
      <c r="C135" s="270"/>
      <c r="D135" s="256"/>
      <c r="E135" s="256"/>
      <c r="F135" s="256"/>
      <c r="G135" s="261"/>
      <c r="H135" s="281"/>
      <c r="I135" s="256"/>
      <c r="J135" s="256"/>
      <c r="K135" s="258"/>
      <c r="L135" s="256"/>
      <c r="M135" s="256"/>
      <c r="N135" s="258"/>
      <c r="O135" s="258"/>
      <c r="P135" s="258"/>
      <c r="Q135" s="258"/>
      <c r="R135" s="258"/>
      <c r="S135" s="258"/>
      <c r="T135" s="258"/>
      <c r="U135" s="258"/>
    </row>
    <row r="136" spans="1:21" ht="99" customHeight="1">
      <c r="A136" s="258"/>
      <c r="B136" s="256"/>
      <c r="C136" s="270"/>
      <c r="D136" s="256"/>
      <c r="E136" s="256"/>
      <c r="F136" s="256"/>
      <c r="G136" s="261"/>
      <c r="H136" s="281"/>
      <c r="I136" s="256"/>
      <c r="J136" s="256"/>
      <c r="K136" s="258"/>
      <c r="L136" s="256"/>
      <c r="M136" s="256"/>
      <c r="N136" s="258"/>
      <c r="O136" s="258"/>
      <c r="P136" s="258"/>
      <c r="Q136" s="258"/>
      <c r="R136" s="258"/>
      <c r="S136" s="258"/>
      <c r="T136" s="258"/>
      <c r="U136" s="258"/>
    </row>
    <row r="137" spans="1:21" ht="99" customHeight="1">
      <c r="A137" s="258"/>
      <c r="B137" s="256"/>
      <c r="C137" s="270"/>
      <c r="D137" s="256"/>
      <c r="E137" s="256"/>
      <c r="F137" s="256"/>
      <c r="G137" s="261"/>
      <c r="H137" s="281"/>
      <c r="I137" s="256"/>
      <c r="J137" s="256"/>
      <c r="K137" s="258"/>
      <c r="L137" s="256"/>
      <c r="M137" s="256"/>
      <c r="N137" s="258"/>
      <c r="O137" s="258"/>
      <c r="P137" s="258"/>
      <c r="Q137" s="258"/>
      <c r="R137" s="258"/>
      <c r="S137" s="258"/>
      <c r="T137" s="258"/>
      <c r="U137" s="258"/>
    </row>
    <row r="138" spans="1:21" ht="99" customHeight="1">
      <c r="A138" s="258"/>
      <c r="B138" s="256"/>
      <c r="C138" s="270"/>
      <c r="D138" s="256"/>
      <c r="E138" s="256"/>
      <c r="F138" s="256"/>
      <c r="G138" s="261"/>
      <c r="H138" s="281"/>
      <c r="I138" s="256"/>
      <c r="J138" s="256"/>
      <c r="K138" s="258"/>
      <c r="L138" s="256"/>
      <c r="M138" s="256"/>
      <c r="N138" s="258"/>
      <c r="O138" s="258"/>
      <c r="P138" s="258"/>
      <c r="Q138" s="258"/>
      <c r="R138" s="258"/>
      <c r="S138" s="258"/>
      <c r="T138" s="258"/>
      <c r="U138" s="258"/>
    </row>
    <row r="139" spans="1:21" ht="99" customHeight="1">
      <c r="A139" s="258"/>
      <c r="B139" s="256"/>
      <c r="C139" s="270"/>
      <c r="D139" s="256"/>
      <c r="E139" s="256"/>
      <c r="F139" s="256"/>
      <c r="G139" s="261"/>
      <c r="H139" s="281"/>
      <c r="I139" s="256"/>
      <c r="J139" s="256"/>
      <c r="K139" s="258"/>
      <c r="L139" s="256"/>
      <c r="M139" s="256"/>
      <c r="N139" s="258"/>
      <c r="O139" s="258"/>
      <c r="P139" s="258"/>
      <c r="Q139" s="258"/>
      <c r="R139" s="258"/>
      <c r="S139" s="258"/>
      <c r="T139" s="258"/>
      <c r="U139" s="258"/>
    </row>
    <row r="140" spans="1:21" ht="99" customHeight="1">
      <c r="A140" s="258"/>
      <c r="B140" s="256"/>
      <c r="C140" s="270"/>
      <c r="D140" s="256"/>
      <c r="E140" s="256"/>
      <c r="F140" s="256"/>
      <c r="G140" s="261"/>
      <c r="H140" s="281"/>
      <c r="I140" s="256"/>
      <c r="J140" s="256"/>
      <c r="K140" s="258"/>
      <c r="L140" s="256"/>
      <c r="M140" s="256"/>
      <c r="N140" s="258"/>
      <c r="O140" s="258"/>
      <c r="P140" s="258"/>
      <c r="Q140" s="258"/>
      <c r="R140" s="258"/>
      <c r="S140" s="258"/>
      <c r="T140" s="258"/>
      <c r="U140" s="258"/>
    </row>
    <row r="141" spans="1:21" ht="99" customHeight="1">
      <c r="A141" s="258"/>
      <c r="B141" s="256"/>
      <c r="C141" s="270"/>
      <c r="D141" s="256"/>
      <c r="E141" s="256"/>
      <c r="F141" s="256"/>
      <c r="G141" s="261"/>
      <c r="H141" s="281"/>
      <c r="I141" s="256"/>
      <c r="J141" s="256"/>
      <c r="K141" s="258"/>
      <c r="L141" s="256"/>
      <c r="M141" s="256"/>
      <c r="N141" s="258"/>
      <c r="O141" s="258"/>
      <c r="P141" s="258"/>
      <c r="Q141" s="258"/>
      <c r="R141" s="258"/>
      <c r="S141" s="258"/>
      <c r="T141" s="258"/>
      <c r="U141" s="258"/>
    </row>
    <row r="142" spans="1:21" ht="99" customHeight="1">
      <c r="A142" s="258"/>
      <c r="B142" s="256"/>
      <c r="C142" s="270"/>
      <c r="D142" s="256"/>
      <c r="E142" s="256"/>
      <c r="F142" s="256"/>
      <c r="G142" s="261"/>
      <c r="H142" s="281"/>
      <c r="I142" s="256"/>
      <c r="J142" s="256"/>
      <c r="K142" s="258"/>
      <c r="L142" s="256"/>
      <c r="M142" s="256"/>
      <c r="N142" s="258"/>
      <c r="O142" s="258"/>
      <c r="P142" s="258"/>
      <c r="Q142" s="258"/>
      <c r="R142" s="258"/>
      <c r="S142" s="258"/>
      <c r="T142" s="258"/>
      <c r="U142" s="258"/>
    </row>
    <row r="143" spans="1:21" ht="99" customHeight="1">
      <c r="A143" s="258"/>
      <c r="B143" s="256"/>
      <c r="C143" s="270"/>
      <c r="D143" s="256"/>
      <c r="E143" s="256"/>
      <c r="F143" s="256"/>
      <c r="G143" s="261"/>
      <c r="H143" s="281"/>
      <c r="I143" s="256"/>
      <c r="J143" s="256"/>
      <c r="K143" s="258"/>
      <c r="L143" s="256"/>
      <c r="M143" s="256"/>
      <c r="N143" s="258"/>
      <c r="O143" s="258"/>
      <c r="P143" s="258"/>
      <c r="Q143" s="258"/>
      <c r="R143" s="258"/>
      <c r="S143" s="258"/>
      <c r="T143" s="258"/>
      <c r="U143" s="258"/>
    </row>
    <row r="144" spans="1:21" ht="99" customHeight="1">
      <c r="A144" s="258"/>
      <c r="B144" s="256"/>
      <c r="C144" s="270"/>
      <c r="D144" s="256"/>
      <c r="E144" s="256"/>
      <c r="F144" s="256"/>
      <c r="G144" s="261"/>
      <c r="H144" s="281"/>
      <c r="I144" s="256"/>
      <c r="J144" s="256"/>
      <c r="K144" s="258"/>
      <c r="L144" s="256"/>
      <c r="M144" s="256"/>
      <c r="N144" s="258"/>
      <c r="O144" s="258"/>
      <c r="P144" s="258"/>
      <c r="Q144" s="258"/>
      <c r="R144" s="258"/>
      <c r="S144" s="258"/>
      <c r="T144" s="258"/>
      <c r="U144" s="258"/>
    </row>
    <row r="145" spans="1:21" ht="99" customHeight="1">
      <c r="A145" s="258"/>
      <c r="B145" s="256"/>
      <c r="C145" s="270"/>
      <c r="D145" s="256"/>
      <c r="E145" s="256"/>
      <c r="F145" s="256"/>
      <c r="G145" s="261"/>
      <c r="H145" s="281"/>
      <c r="I145" s="256"/>
      <c r="J145" s="256"/>
      <c r="K145" s="258"/>
      <c r="L145" s="256"/>
      <c r="M145" s="256"/>
      <c r="N145" s="258"/>
      <c r="O145" s="258"/>
      <c r="P145" s="258"/>
      <c r="Q145" s="258"/>
      <c r="R145" s="258"/>
      <c r="S145" s="258"/>
      <c r="T145" s="258"/>
      <c r="U145" s="258"/>
    </row>
    <row r="146" spans="1:21" ht="99" customHeight="1">
      <c r="A146" s="258"/>
      <c r="B146" s="256"/>
      <c r="C146" s="270"/>
      <c r="D146" s="256"/>
      <c r="E146" s="256"/>
      <c r="F146" s="256"/>
      <c r="G146" s="261"/>
      <c r="H146" s="281"/>
      <c r="I146" s="256"/>
      <c r="J146" s="256"/>
      <c r="K146" s="258"/>
      <c r="L146" s="256"/>
      <c r="M146" s="256"/>
      <c r="N146" s="258"/>
      <c r="O146" s="258"/>
      <c r="P146" s="258"/>
      <c r="Q146" s="258"/>
      <c r="R146" s="258"/>
      <c r="S146" s="258"/>
      <c r="T146" s="258"/>
      <c r="U146" s="258"/>
    </row>
    <row r="147" spans="1:21" ht="99" customHeight="1">
      <c r="A147" s="258"/>
      <c r="B147" s="256"/>
      <c r="C147" s="270"/>
      <c r="D147" s="256"/>
      <c r="E147" s="256"/>
      <c r="F147" s="256"/>
      <c r="G147" s="261"/>
      <c r="H147" s="281"/>
      <c r="I147" s="256"/>
      <c r="J147" s="256"/>
      <c r="K147" s="258"/>
      <c r="L147" s="256"/>
      <c r="M147" s="256"/>
      <c r="N147" s="258"/>
      <c r="O147" s="258"/>
      <c r="P147" s="258"/>
      <c r="Q147" s="258"/>
      <c r="R147" s="258"/>
      <c r="S147" s="258"/>
      <c r="T147" s="258"/>
      <c r="U147" s="258"/>
    </row>
    <row r="148" spans="1:21" ht="99" customHeight="1">
      <c r="A148" s="258"/>
      <c r="B148" s="256"/>
      <c r="C148" s="270"/>
      <c r="D148" s="256"/>
      <c r="E148" s="256"/>
      <c r="F148" s="256"/>
      <c r="G148" s="261"/>
      <c r="H148" s="281"/>
      <c r="I148" s="256"/>
      <c r="J148" s="256"/>
      <c r="K148" s="258"/>
      <c r="L148" s="256"/>
      <c r="M148" s="256"/>
      <c r="N148" s="258"/>
      <c r="O148" s="258"/>
      <c r="P148" s="258"/>
      <c r="Q148" s="258"/>
      <c r="R148" s="258"/>
      <c r="S148" s="258"/>
      <c r="T148" s="258"/>
      <c r="U148" s="258"/>
    </row>
    <row r="149" spans="1:21" ht="99" customHeight="1">
      <c r="A149" s="258"/>
      <c r="B149" s="256"/>
      <c r="C149" s="270"/>
      <c r="D149" s="256"/>
      <c r="E149" s="256"/>
      <c r="F149" s="256"/>
      <c r="G149" s="261"/>
      <c r="H149" s="281"/>
      <c r="I149" s="256"/>
      <c r="J149" s="256"/>
      <c r="K149" s="258"/>
      <c r="L149" s="256"/>
      <c r="M149" s="256"/>
      <c r="N149" s="258"/>
      <c r="O149" s="258"/>
      <c r="P149" s="258"/>
      <c r="Q149" s="258"/>
      <c r="R149" s="258"/>
      <c r="S149" s="258"/>
      <c r="T149" s="258"/>
      <c r="U149" s="258"/>
    </row>
    <row r="150" spans="1:21" ht="99" customHeight="1">
      <c r="A150" s="258"/>
      <c r="B150" s="256"/>
      <c r="C150" s="270"/>
      <c r="D150" s="256"/>
      <c r="E150" s="256"/>
      <c r="F150" s="256"/>
      <c r="G150" s="261"/>
      <c r="H150" s="281"/>
      <c r="I150" s="256"/>
      <c r="J150" s="256"/>
      <c r="K150" s="258"/>
      <c r="L150" s="256"/>
      <c r="M150" s="256"/>
      <c r="N150" s="258"/>
      <c r="O150" s="258"/>
      <c r="P150" s="258"/>
      <c r="Q150" s="258"/>
      <c r="R150" s="258"/>
      <c r="S150" s="258"/>
      <c r="T150" s="258"/>
      <c r="U150" s="258"/>
    </row>
    <row r="151" spans="1:21" ht="99" customHeight="1">
      <c r="A151" s="258"/>
      <c r="B151" s="256"/>
      <c r="C151" s="270"/>
      <c r="D151" s="256"/>
      <c r="E151" s="256"/>
      <c r="F151" s="256"/>
      <c r="G151" s="261"/>
      <c r="H151" s="281"/>
      <c r="I151" s="256"/>
      <c r="J151" s="256"/>
      <c r="K151" s="258"/>
      <c r="L151" s="256"/>
      <c r="M151" s="256"/>
      <c r="N151" s="258"/>
      <c r="O151" s="258"/>
      <c r="P151" s="258"/>
      <c r="Q151" s="258"/>
      <c r="R151" s="258"/>
      <c r="S151" s="258"/>
      <c r="T151" s="258"/>
      <c r="U151" s="258"/>
    </row>
    <row r="152" spans="1:21" ht="99" customHeight="1">
      <c r="A152" s="258"/>
      <c r="B152" s="256"/>
      <c r="C152" s="270"/>
      <c r="D152" s="256"/>
      <c r="E152" s="256"/>
      <c r="F152" s="256"/>
      <c r="G152" s="261"/>
      <c r="H152" s="281"/>
      <c r="I152" s="256"/>
      <c r="J152" s="256"/>
      <c r="K152" s="258"/>
      <c r="L152" s="256"/>
      <c r="M152" s="256"/>
      <c r="N152" s="258"/>
      <c r="O152" s="258"/>
      <c r="P152" s="258"/>
      <c r="Q152" s="258"/>
      <c r="R152" s="258"/>
      <c r="S152" s="258"/>
      <c r="T152" s="258"/>
      <c r="U152" s="258"/>
    </row>
    <row r="153" spans="1:21" ht="99" customHeight="1">
      <c r="A153" s="258"/>
      <c r="B153" s="256"/>
      <c r="C153" s="270"/>
      <c r="D153" s="256"/>
      <c r="E153" s="256"/>
      <c r="F153" s="256"/>
      <c r="G153" s="261"/>
      <c r="H153" s="281"/>
      <c r="I153" s="256"/>
      <c r="J153" s="256"/>
      <c r="K153" s="258"/>
      <c r="L153" s="256"/>
      <c r="M153" s="256"/>
      <c r="N153" s="258"/>
      <c r="O153" s="258"/>
      <c r="P153" s="258"/>
      <c r="Q153" s="258"/>
      <c r="R153" s="258"/>
      <c r="S153" s="258"/>
      <c r="T153" s="258"/>
      <c r="U153" s="258"/>
    </row>
    <row r="154" spans="1:21" ht="99" customHeight="1">
      <c r="A154" s="258"/>
      <c r="B154" s="256"/>
      <c r="C154" s="270"/>
      <c r="D154" s="256"/>
      <c r="E154" s="256"/>
      <c r="F154" s="256"/>
      <c r="G154" s="261"/>
      <c r="H154" s="281"/>
      <c r="I154" s="256"/>
      <c r="J154" s="256"/>
      <c r="K154" s="258"/>
      <c r="L154" s="256"/>
      <c r="M154" s="256"/>
      <c r="N154" s="258"/>
      <c r="O154" s="258"/>
      <c r="P154" s="258"/>
      <c r="Q154" s="258"/>
      <c r="R154" s="258"/>
      <c r="S154" s="258"/>
      <c r="T154" s="258"/>
      <c r="U154" s="258"/>
    </row>
    <row r="155" spans="1:21" ht="99" customHeight="1">
      <c r="A155" s="258"/>
      <c r="B155" s="256"/>
      <c r="C155" s="270"/>
      <c r="D155" s="256"/>
      <c r="E155" s="256"/>
      <c r="F155" s="256"/>
      <c r="G155" s="261"/>
      <c r="H155" s="281"/>
      <c r="I155" s="256"/>
      <c r="J155" s="256"/>
      <c r="K155" s="258"/>
      <c r="L155" s="256"/>
      <c r="M155" s="256"/>
      <c r="N155" s="258"/>
      <c r="O155" s="258"/>
      <c r="P155" s="258"/>
      <c r="Q155" s="258"/>
      <c r="R155" s="258"/>
      <c r="S155" s="258"/>
      <c r="T155" s="258"/>
      <c r="U155" s="258"/>
    </row>
    <row r="156" spans="1:21" ht="99" customHeight="1">
      <c r="A156" s="258"/>
      <c r="B156" s="256"/>
      <c r="C156" s="270"/>
      <c r="D156" s="256"/>
      <c r="E156" s="256"/>
      <c r="F156" s="256"/>
      <c r="G156" s="261"/>
      <c r="H156" s="281"/>
      <c r="I156" s="256"/>
      <c r="J156" s="256"/>
      <c r="K156" s="258"/>
      <c r="L156" s="256"/>
      <c r="M156" s="256"/>
      <c r="N156" s="258"/>
      <c r="O156" s="258"/>
      <c r="P156" s="258"/>
      <c r="Q156" s="258"/>
      <c r="R156" s="258"/>
      <c r="S156" s="258"/>
      <c r="T156" s="258"/>
      <c r="U156" s="258"/>
    </row>
    <row r="157" spans="1:21" ht="99" customHeight="1">
      <c r="A157" s="258"/>
      <c r="B157" s="256"/>
      <c r="C157" s="270"/>
      <c r="D157" s="256"/>
      <c r="E157" s="256"/>
      <c r="F157" s="256"/>
      <c r="G157" s="261"/>
      <c r="H157" s="281"/>
      <c r="I157" s="256"/>
      <c r="J157" s="256"/>
      <c r="K157" s="258"/>
      <c r="L157" s="256"/>
      <c r="M157" s="256"/>
      <c r="N157" s="258"/>
      <c r="O157" s="258"/>
      <c r="P157" s="258"/>
      <c r="Q157" s="258"/>
      <c r="R157" s="258"/>
      <c r="S157" s="258"/>
      <c r="T157" s="258"/>
      <c r="U157" s="258"/>
    </row>
    <row r="158" spans="1:21" ht="99" customHeight="1">
      <c r="A158" s="258"/>
      <c r="B158" s="256"/>
      <c r="C158" s="270"/>
      <c r="D158" s="256"/>
      <c r="E158" s="256"/>
      <c r="F158" s="256"/>
      <c r="G158" s="261"/>
      <c r="H158" s="281"/>
      <c r="I158" s="256"/>
      <c r="J158" s="256"/>
      <c r="K158" s="258"/>
      <c r="L158" s="256"/>
      <c r="M158" s="256"/>
      <c r="N158" s="258"/>
      <c r="O158" s="258"/>
      <c r="P158" s="258"/>
      <c r="Q158" s="258"/>
      <c r="R158" s="258"/>
      <c r="S158" s="258"/>
      <c r="T158" s="258"/>
      <c r="U158" s="258"/>
    </row>
    <row r="159" spans="1:21" ht="99" customHeight="1">
      <c r="A159" s="258"/>
      <c r="B159" s="256"/>
      <c r="C159" s="270"/>
      <c r="D159" s="256"/>
      <c r="E159" s="256"/>
      <c r="F159" s="256"/>
      <c r="G159" s="261"/>
      <c r="H159" s="281"/>
      <c r="I159" s="256"/>
      <c r="J159" s="256"/>
      <c r="K159" s="258"/>
      <c r="L159" s="256"/>
      <c r="M159" s="256"/>
      <c r="N159" s="258"/>
      <c r="O159" s="258"/>
      <c r="P159" s="258"/>
      <c r="Q159" s="258"/>
      <c r="R159" s="258"/>
      <c r="S159" s="258"/>
      <c r="T159" s="258"/>
      <c r="U159" s="258"/>
    </row>
    <row r="160" spans="1:21" ht="99" customHeight="1">
      <c r="A160" s="258"/>
      <c r="B160" s="256"/>
      <c r="C160" s="270"/>
      <c r="D160" s="256"/>
      <c r="E160" s="256"/>
      <c r="F160" s="256"/>
      <c r="G160" s="261"/>
      <c r="H160" s="281"/>
      <c r="I160" s="256"/>
      <c r="J160" s="256"/>
      <c r="K160" s="258"/>
      <c r="L160" s="256"/>
      <c r="M160" s="256"/>
      <c r="N160" s="258"/>
      <c r="O160" s="258"/>
      <c r="P160" s="258"/>
      <c r="Q160" s="258"/>
      <c r="R160" s="258"/>
      <c r="S160" s="258"/>
      <c r="T160" s="258"/>
      <c r="U160" s="258"/>
    </row>
    <row r="161" spans="1:21" ht="99" customHeight="1">
      <c r="A161" s="258"/>
      <c r="B161" s="256"/>
      <c r="C161" s="270"/>
      <c r="D161" s="256"/>
      <c r="E161" s="256"/>
      <c r="F161" s="256"/>
      <c r="G161" s="261"/>
      <c r="H161" s="281"/>
      <c r="I161" s="256"/>
      <c r="J161" s="256"/>
      <c r="K161" s="258"/>
      <c r="L161" s="256"/>
      <c r="M161" s="256"/>
      <c r="N161" s="258"/>
      <c r="O161" s="258"/>
      <c r="P161" s="258"/>
      <c r="Q161" s="258"/>
      <c r="R161" s="258"/>
      <c r="S161" s="258"/>
      <c r="T161" s="258"/>
      <c r="U161" s="258"/>
    </row>
    <row r="162" spans="1:21" ht="99" customHeight="1">
      <c r="A162" s="258"/>
      <c r="B162" s="256"/>
      <c r="C162" s="270"/>
      <c r="D162" s="256"/>
      <c r="E162" s="256"/>
      <c r="F162" s="256"/>
      <c r="G162" s="261"/>
      <c r="H162" s="281"/>
      <c r="I162" s="256"/>
      <c r="J162" s="256"/>
      <c r="K162" s="258"/>
      <c r="L162" s="256"/>
      <c r="M162" s="256"/>
      <c r="N162" s="258"/>
      <c r="O162" s="258"/>
      <c r="P162" s="258"/>
      <c r="Q162" s="258"/>
      <c r="R162" s="258"/>
      <c r="S162" s="258"/>
      <c r="T162" s="258"/>
      <c r="U162" s="258"/>
    </row>
    <row r="163" spans="1:21" ht="99" customHeight="1">
      <c r="A163" s="258"/>
      <c r="B163" s="256"/>
      <c r="C163" s="270"/>
      <c r="D163" s="256"/>
      <c r="E163" s="256"/>
      <c r="F163" s="256"/>
      <c r="G163" s="261"/>
      <c r="H163" s="281"/>
      <c r="I163" s="256"/>
      <c r="J163" s="256"/>
      <c r="K163" s="258"/>
      <c r="L163" s="256"/>
      <c r="M163" s="256"/>
      <c r="N163" s="258"/>
      <c r="O163" s="258"/>
      <c r="P163" s="258"/>
      <c r="Q163" s="258"/>
      <c r="R163" s="258"/>
      <c r="S163" s="258"/>
      <c r="T163" s="258"/>
      <c r="U163" s="258"/>
    </row>
    <row r="164" spans="1:21" ht="99" customHeight="1">
      <c r="A164" s="258"/>
      <c r="B164" s="256"/>
      <c r="C164" s="270"/>
      <c r="D164" s="256"/>
      <c r="E164" s="256"/>
      <c r="F164" s="256"/>
      <c r="G164" s="261"/>
      <c r="H164" s="281"/>
      <c r="I164" s="256"/>
      <c r="J164" s="256"/>
      <c r="K164" s="258"/>
      <c r="L164" s="256"/>
      <c r="M164" s="256"/>
      <c r="N164" s="258"/>
      <c r="O164" s="258"/>
      <c r="P164" s="258"/>
      <c r="Q164" s="258"/>
      <c r="R164" s="258"/>
      <c r="S164" s="258"/>
      <c r="T164" s="258"/>
      <c r="U164" s="258"/>
    </row>
    <row r="165" spans="1:21" ht="99" customHeight="1">
      <c r="A165" s="258"/>
      <c r="B165" s="256"/>
      <c r="C165" s="270"/>
      <c r="D165" s="256"/>
      <c r="E165" s="256"/>
      <c r="F165" s="256"/>
      <c r="G165" s="261"/>
      <c r="H165" s="281"/>
      <c r="I165" s="256"/>
      <c r="J165" s="256"/>
      <c r="K165" s="258"/>
      <c r="L165" s="256"/>
      <c r="M165" s="256"/>
      <c r="N165" s="258"/>
      <c r="O165" s="258"/>
      <c r="P165" s="258"/>
      <c r="Q165" s="258"/>
      <c r="R165" s="258"/>
      <c r="S165" s="258"/>
      <c r="T165" s="258"/>
      <c r="U165" s="258"/>
    </row>
    <row r="166" spans="1:21" ht="99" customHeight="1">
      <c r="A166" s="258"/>
      <c r="B166" s="256"/>
      <c r="C166" s="270"/>
      <c r="D166" s="256"/>
      <c r="E166" s="256"/>
      <c r="F166" s="256"/>
      <c r="G166" s="261"/>
      <c r="H166" s="281"/>
      <c r="I166" s="256"/>
      <c r="J166" s="256"/>
      <c r="K166" s="258"/>
      <c r="L166" s="256"/>
      <c r="M166" s="256"/>
      <c r="N166" s="258"/>
      <c r="O166" s="258"/>
      <c r="P166" s="258"/>
      <c r="Q166" s="258"/>
      <c r="R166" s="258"/>
      <c r="S166" s="258"/>
      <c r="T166" s="258"/>
      <c r="U166" s="258"/>
    </row>
    <row r="167" spans="1:21" ht="99" customHeight="1">
      <c r="A167" s="258"/>
      <c r="B167" s="256"/>
      <c r="C167" s="270"/>
      <c r="D167" s="256"/>
      <c r="E167" s="256"/>
      <c r="F167" s="256"/>
      <c r="G167" s="261"/>
      <c r="H167" s="281"/>
      <c r="I167" s="256"/>
      <c r="J167" s="256"/>
      <c r="K167" s="258"/>
      <c r="L167" s="256"/>
      <c r="M167" s="256"/>
      <c r="N167" s="258"/>
      <c r="O167" s="258"/>
      <c r="P167" s="258"/>
      <c r="Q167" s="258"/>
      <c r="R167" s="258"/>
      <c r="S167" s="258"/>
      <c r="T167" s="258"/>
      <c r="U167" s="258"/>
    </row>
    <row r="168" spans="1:21" ht="99" customHeight="1">
      <c r="A168" s="258"/>
      <c r="B168" s="256"/>
      <c r="C168" s="270"/>
      <c r="D168" s="256"/>
      <c r="E168" s="256"/>
      <c r="F168" s="256"/>
      <c r="G168" s="261"/>
      <c r="H168" s="281"/>
      <c r="I168" s="256"/>
      <c r="J168" s="256"/>
      <c r="K168" s="258"/>
      <c r="L168" s="256"/>
      <c r="M168" s="256"/>
      <c r="N168" s="258"/>
      <c r="O168" s="258"/>
      <c r="P168" s="258"/>
      <c r="Q168" s="258"/>
      <c r="R168" s="258"/>
      <c r="S168" s="258"/>
      <c r="T168" s="258"/>
      <c r="U168" s="258"/>
    </row>
    <row r="169" spans="1:21" ht="99" customHeight="1">
      <c r="A169" s="258"/>
      <c r="B169" s="256"/>
      <c r="C169" s="270"/>
      <c r="D169" s="256"/>
      <c r="E169" s="256"/>
      <c r="F169" s="256"/>
      <c r="G169" s="261"/>
      <c r="H169" s="281"/>
      <c r="I169" s="256"/>
      <c r="J169" s="256"/>
      <c r="K169" s="258"/>
      <c r="L169" s="256"/>
      <c r="M169" s="256"/>
      <c r="N169" s="258"/>
      <c r="O169" s="258"/>
      <c r="P169" s="258"/>
      <c r="Q169" s="258"/>
      <c r="R169" s="258"/>
      <c r="S169" s="258"/>
      <c r="T169" s="258"/>
      <c r="U169" s="258"/>
    </row>
    <row r="170" spans="1:21" ht="99" customHeight="1">
      <c r="A170" s="258"/>
      <c r="B170" s="256"/>
      <c r="C170" s="270"/>
      <c r="D170" s="256"/>
      <c r="E170" s="256"/>
      <c r="F170" s="256"/>
      <c r="G170" s="261"/>
      <c r="H170" s="281"/>
      <c r="I170" s="256"/>
      <c r="J170" s="256"/>
      <c r="K170" s="258"/>
      <c r="L170" s="256"/>
      <c r="M170" s="256"/>
      <c r="N170" s="258"/>
      <c r="O170" s="258"/>
      <c r="P170" s="258"/>
      <c r="Q170" s="258"/>
      <c r="R170" s="258"/>
      <c r="S170" s="258"/>
      <c r="T170" s="258"/>
      <c r="U170" s="258"/>
    </row>
    <row r="171" spans="1:21" ht="99" customHeight="1">
      <c r="A171" s="258"/>
      <c r="B171" s="256"/>
      <c r="C171" s="270"/>
      <c r="D171" s="256"/>
      <c r="E171" s="256"/>
      <c r="F171" s="256"/>
      <c r="G171" s="261"/>
      <c r="H171" s="281"/>
      <c r="I171" s="256"/>
      <c r="J171" s="256"/>
      <c r="K171" s="258"/>
      <c r="L171" s="256"/>
      <c r="M171" s="256"/>
      <c r="N171" s="258"/>
      <c r="O171" s="258"/>
      <c r="P171" s="258"/>
      <c r="Q171" s="258"/>
      <c r="R171" s="258"/>
      <c r="S171" s="258"/>
      <c r="T171" s="258"/>
      <c r="U171" s="258"/>
    </row>
    <row r="172" spans="1:21" ht="99" customHeight="1">
      <c r="A172" s="258"/>
      <c r="B172" s="256"/>
      <c r="C172" s="270"/>
      <c r="D172" s="256"/>
      <c r="E172" s="256"/>
      <c r="F172" s="256"/>
      <c r="G172" s="261"/>
      <c r="H172" s="281"/>
      <c r="I172" s="256"/>
      <c r="J172" s="256"/>
      <c r="K172" s="258"/>
      <c r="L172" s="256"/>
      <c r="M172" s="256"/>
      <c r="N172" s="258"/>
      <c r="O172" s="258"/>
      <c r="P172" s="258"/>
      <c r="Q172" s="258"/>
      <c r="R172" s="258"/>
      <c r="S172" s="258"/>
      <c r="T172" s="258"/>
      <c r="U172" s="258"/>
    </row>
    <row r="173" spans="1:21" ht="99" customHeight="1">
      <c r="A173" s="258"/>
      <c r="B173" s="256"/>
      <c r="C173" s="270"/>
      <c r="D173" s="256"/>
      <c r="E173" s="256"/>
      <c r="F173" s="256"/>
      <c r="G173" s="261"/>
      <c r="H173" s="281"/>
      <c r="I173" s="256"/>
      <c r="J173" s="256"/>
      <c r="K173" s="258"/>
      <c r="L173" s="256"/>
      <c r="M173" s="256"/>
      <c r="N173" s="258"/>
      <c r="O173" s="258"/>
      <c r="P173" s="258"/>
      <c r="Q173" s="258"/>
      <c r="R173" s="258"/>
      <c r="S173" s="258"/>
      <c r="T173" s="258"/>
      <c r="U173" s="258"/>
    </row>
    <row r="174" spans="1:21" ht="99" customHeight="1">
      <c r="A174" s="258"/>
      <c r="B174" s="256"/>
      <c r="C174" s="270"/>
      <c r="D174" s="256"/>
      <c r="E174" s="256"/>
      <c r="F174" s="256"/>
      <c r="G174" s="261"/>
      <c r="H174" s="281"/>
      <c r="I174" s="256"/>
      <c r="J174" s="256"/>
      <c r="K174" s="258"/>
      <c r="L174" s="256"/>
      <c r="M174" s="256"/>
      <c r="N174" s="258"/>
      <c r="O174" s="258"/>
      <c r="P174" s="258"/>
      <c r="Q174" s="258"/>
      <c r="R174" s="258"/>
      <c r="S174" s="258"/>
      <c r="T174" s="258"/>
      <c r="U174" s="258"/>
    </row>
    <row r="175" spans="1:21" ht="99" customHeight="1">
      <c r="A175" s="258"/>
      <c r="B175" s="256"/>
      <c r="C175" s="270"/>
      <c r="D175" s="256"/>
      <c r="E175" s="256"/>
      <c r="F175" s="256"/>
      <c r="G175" s="261"/>
      <c r="H175" s="281"/>
      <c r="I175" s="256"/>
      <c r="J175" s="256"/>
      <c r="K175" s="258"/>
      <c r="L175" s="256"/>
      <c r="M175" s="256"/>
      <c r="N175" s="258"/>
      <c r="O175" s="258"/>
      <c r="P175" s="258"/>
      <c r="Q175" s="258"/>
      <c r="R175" s="258"/>
      <c r="S175" s="258"/>
      <c r="T175" s="258"/>
      <c r="U175" s="258"/>
    </row>
    <row r="176" spans="1:21" ht="99" customHeight="1">
      <c r="A176" s="258"/>
      <c r="B176" s="256"/>
      <c r="C176" s="270"/>
      <c r="D176" s="256"/>
      <c r="E176" s="256"/>
      <c r="F176" s="256"/>
      <c r="G176" s="261"/>
      <c r="H176" s="281"/>
      <c r="I176" s="256"/>
      <c r="J176" s="256"/>
      <c r="K176" s="258"/>
      <c r="L176" s="256"/>
      <c r="M176" s="256"/>
      <c r="N176" s="258"/>
      <c r="O176" s="258"/>
      <c r="P176" s="258"/>
      <c r="Q176" s="258"/>
      <c r="R176" s="258"/>
      <c r="S176" s="258"/>
      <c r="T176" s="258"/>
      <c r="U176" s="258"/>
    </row>
    <row r="177" spans="1:21" ht="99" customHeight="1">
      <c r="A177" s="258"/>
      <c r="B177" s="256"/>
      <c r="C177" s="270"/>
      <c r="D177" s="256"/>
      <c r="E177" s="256"/>
      <c r="F177" s="256"/>
      <c r="G177" s="261"/>
      <c r="H177" s="281"/>
      <c r="I177" s="256"/>
      <c r="J177" s="256"/>
      <c r="K177" s="258"/>
      <c r="L177" s="256"/>
      <c r="M177" s="256"/>
      <c r="N177" s="258"/>
      <c r="O177" s="258"/>
      <c r="P177" s="258"/>
      <c r="Q177" s="258"/>
      <c r="R177" s="258"/>
      <c r="S177" s="258"/>
      <c r="T177" s="258"/>
      <c r="U177" s="258"/>
    </row>
    <row r="178" spans="1:21" ht="99" customHeight="1">
      <c r="A178" s="258"/>
      <c r="B178" s="256"/>
      <c r="C178" s="270"/>
      <c r="D178" s="256"/>
      <c r="E178" s="256"/>
      <c r="F178" s="256"/>
      <c r="G178" s="261"/>
      <c r="H178" s="281"/>
      <c r="I178" s="256"/>
      <c r="J178" s="256"/>
      <c r="K178" s="258"/>
      <c r="L178" s="256"/>
      <c r="M178" s="256"/>
      <c r="N178" s="258"/>
      <c r="O178" s="258"/>
      <c r="P178" s="258"/>
      <c r="Q178" s="258"/>
      <c r="R178" s="258"/>
      <c r="S178" s="258"/>
      <c r="T178" s="258"/>
      <c r="U178" s="258"/>
    </row>
    <row r="179" spans="1:21" ht="99" customHeight="1">
      <c r="A179" s="258"/>
      <c r="B179" s="256"/>
      <c r="C179" s="270"/>
      <c r="D179" s="256"/>
      <c r="E179" s="256"/>
      <c r="F179" s="256"/>
      <c r="G179" s="261"/>
      <c r="H179" s="281"/>
      <c r="I179" s="256"/>
      <c r="J179" s="256"/>
      <c r="K179" s="258"/>
      <c r="L179" s="256"/>
      <c r="M179" s="256"/>
      <c r="N179" s="258"/>
      <c r="O179" s="258"/>
      <c r="P179" s="258"/>
      <c r="Q179" s="258"/>
      <c r="R179" s="258"/>
      <c r="S179" s="258"/>
      <c r="T179" s="258"/>
      <c r="U179" s="258"/>
    </row>
    <row r="180" spans="1:21" ht="99" customHeight="1">
      <c r="A180" s="258"/>
      <c r="B180" s="256"/>
      <c r="C180" s="270"/>
      <c r="D180" s="256"/>
      <c r="E180" s="256"/>
      <c r="F180" s="256"/>
      <c r="G180" s="261"/>
      <c r="H180" s="281"/>
      <c r="I180" s="256"/>
      <c r="J180" s="256"/>
      <c r="K180" s="258"/>
      <c r="L180" s="256"/>
      <c r="M180" s="256"/>
      <c r="N180" s="258"/>
      <c r="O180" s="258"/>
      <c r="P180" s="258"/>
      <c r="Q180" s="258"/>
      <c r="R180" s="258"/>
      <c r="S180" s="258"/>
      <c r="T180" s="258"/>
      <c r="U180" s="258"/>
    </row>
    <row r="181" spans="1:21" ht="99" customHeight="1">
      <c r="A181" s="258"/>
      <c r="B181" s="256"/>
      <c r="C181" s="270"/>
      <c r="D181" s="256"/>
      <c r="E181" s="256"/>
      <c r="F181" s="256"/>
      <c r="G181" s="261"/>
      <c r="H181" s="281"/>
      <c r="I181" s="256"/>
      <c r="J181" s="256"/>
      <c r="K181" s="258"/>
      <c r="L181" s="256"/>
      <c r="M181" s="256"/>
      <c r="N181" s="258"/>
      <c r="O181" s="258"/>
      <c r="P181" s="258"/>
      <c r="Q181" s="258"/>
      <c r="R181" s="258"/>
      <c r="S181" s="258"/>
      <c r="T181" s="258"/>
      <c r="U181" s="258"/>
    </row>
    <row r="182" spans="1:21" ht="99" customHeight="1">
      <c r="A182" s="258"/>
      <c r="B182" s="256"/>
      <c r="C182" s="270"/>
      <c r="D182" s="256"/>
      <c r="E182" s="256"/>
      <c r="F182" s="256"/>
      <c r="G182" s="261"/>
      <c r="H182" s="281"/>
      <c r="I182" s="256"/>
      <c r="J182" s="256"/>
      <c r="K182" s="258"/>
      <c r="L182" s="256"/>
      <c r="M182" s="256"/>
      <c r="N182" s="258"/>
      <c r="O182" s="258"/>
      <c r="P182" s="258"/>
      <c r="Q182" s="258"/>
      <c r="R182" s="258"/>
      <c r="S182" s="258"/>
      <c r="T182" s="258"/>
      <c r="U182" s="258"/>
    </row>
    <row r="183" spans="1:21" ht="99" customHeight="1">
      <c r="A183" s="258"/>
      <c r="B183" s="256"/>
      <c r="C183" s="270"/>
      <c r="D183" s="256"/>
      <c r="E183" s="256"/>
      <c r="F183" s="256"/>
      <c r="G183" s="261"/>
      <c r="H183" s="281"/>
      <c r="I183" s="256"/>
      <c r="J183" s="256"/>
      <c r="K183" s="258"/>
      <c r="L183" s="256"/>
      <c r="M183" s="256"/>
      <c r="N183" s="258"/>
      <c r="O183" s="258"/>
      <c r="P183" s="258"/>
      <c r="Q183" s="258"/>
      <c r="R183" s="258"/>
      <c r="S183" s="258"/>
      <c r="T183" s="258"/>
      <c r="U183" s="258"/>
    </row>
    <row r="184" spans="1:21" ht="99" customHeight="1">
      <c r="A184" s="258"/>
      <c r="B184" s="256"/>
      <c r="C184" s="270"/>
      <c r="D184" s="256"/>
      <c r="E184" s="256"/>
      <c r="F184" s="256"/>
      <c r="G184" s="261"/>
      <c r="H184" s="281"/>
      <c r="I184" s="256"/>
      <c r="J184" s="256"/>
      <c r="K184" s="258"/>
      <c r="L184" s="256"/>
      <c r="M184" s="256"/>
      <c r="N184" s="258"/>
      <c r="O184" s="258"/>
      <c r="P184" s="258"/>
      <c r="Q184" s="258"/>
      <c r="R184" s="258"/>
      <c r="S184" s="258"/>
      <c r="T184" s="258"/>
      <c r="U184" s="258"/>
    </row>
    <row r="185" spans="1:21" ht="99" customHeight="1">
      <c r="A185" s="258"/>
      <c r="B185" s="256"/>
      <c r="C185" s="270"/>
      <c r="D185" s="256"/>
      <c r="E185" s="256"/>
      <c r="F185" s="256"/>
      <c r="G185" s="261"/>
      <c r="H185" s="281"/>
      <c r="I185" s="256"/>
      <c r="J185" s="256"/>
      <c r="K185" s="258"/>
      <c r="L185" s="256"/>
      <c r="M185" s="256"/>
      <c r="N185" s="258"/>
      <c r="O185" s="258"/>
      <c r="P185" s="258"/>
      <c r="Q185" s="258"/>
      <c r="R185" s="258"/>
      <c r="S185" s="258"/>
      <c r="T185" s="258"/>
      <c r="U185" s="258"/>
    </row>
    <row r="186" spans="1:21" ht="99" customHeight="1">
      <c r="A186" s="258"/>
      <c r="B186" s="256"/>
      <c r="C186" s="270"/>
      <c r="D186" s="256"/>
      <c r="E186" s="256"/>
      <c r="F186" s="256"/>
      <c r="G186" s="261"/>
      <c r="H186" s="281"/>
      <c r="I186" s="256"/>
      <c r="J186" s="256"/>
      <c r="K186" s="258"/>
      <c r="L186" s="256"/>
      <c r="M186" s="256"/>
      <c r="N186" s="258"/>
      <c r="O186" s="258"/>
      <c r="P186" s="258"/>
      <c r="Q186" s="258"/>
      <c r="R186" s="258"/>
      <c r="S186" s="258"/>
      <c r="T186" s="258"/>
      <c r="U186" s="258"/>
    </row>
    <row r="187" spans="1:21" ht="99" customHeight="1">
      <c r="A187" s="258"/>
      <c r="B187" s="256"/>
      <c r="C187" s="270"/>
      <c r="D187" s="256"/>
      <c r="E187" s="256"/>
      <c r="F187" s="256"/>
      <c r="G187" s="261"/>
      <c r="H187" s="281"/>
      <c r="I187" s="256"/>
      <c r="J187" s="256"/>
      <c r="K187" s="258"/>
      <c r="L187" s="256"/>
      <c r="M187" s="256"/>
      <c r="N187" s="258"/>
      <c r="O187" s="258"/>
      <c r="P187" s="258"/>
      <c r="Q187" s="258"/>
      <c r="R187" s="258"/>
      <c r="S187" s="258"/>
      <c r="T187" s="258"/>
      <c r="U187" s="258"/>
    </row>
    <row r="188" spans="1:21" ht="99" customHeight="1">
      <c r="A188" s="258"/>
      <c r="B188" s="256"/>
      <c r="C188" s="270"/>
      <c r="D188" s="256"/>
      <c r="E188" s="256"/>
      <c r="F188" s="256"/>
      <c r="G188" s="261"/>
      <c r="H188" s="281"/>
      <c r="I188" s="256"/>
      <c r="J188" s="256"/>
      <c r="K188" s="258"/>
      <c r="L188" s="256"/>
      <c r="M188" s="256"/>
      <c r="N188" s="258"/>
      <c r="O188" s="258"/>
      <c r="P188" s="258"/>
      <c r="Q188" s="258"/>
      <c r="R188" s="258"/>
      <c r="S188" s="258"/>
      <c r="T188" s="258"/>
      <c r="U188" s="258"/>
    </row>
    <row r="189" spans="1:21" ht="99" customHeight="1">
      <c r="A189" s="258"/>
      <c r="B189" s="256"/>
      <c r="C189" s="270"/>
      <c r="D189" s="256"/>
      <c r="E189" s="256"/>
      <c r="F189" s="256"/>
      <c r="G189" s="261"/>
      <c r="H189" s="281"/>
      <c r="I189" s="256"/>
      <c r="J189" s="256"/>
      <c r="K189" s="258"/>
      <c r="L189" s="256"/>
      <c r="M189" s="256"/>
      <c r="N189" s="258"/>
      <c r="O189" s="258"/>
      <c r="P189" s="258"/>
      <c r="Q189" s="258"/>
      <c r="R189" s="258"/>
      <c r="S189" s="258"/>
      <c r="T189" s="258"/>
      <c r="U189" s="258"/>
    </row>
    <row r="190" spans="1:21" ht="99" customHeight="1">
      <c r="A190" s="258"/>
      <c r="B190" s="256"/>
      <c r="C190" s="270"/>
      <c r="D190" s="256"/>
      <c r="E190" s="256"/>
      <c r="F190" s="256"/>
      <c r="G190" s="261"/>
      <c r="H190" s="281"/>
      <c r="I190" s="256"/>
      <c r="J190" s="256"/>
      <c r="K190" s="258"/>
      <c r="L190" s="256"/>
      <c r="M190" s="256"/>
      <c r="N190" s="258"/>
      <c r="O190" s="258"/>
      <c r="P190" s="258"/>
      <c r="Q190" s="258"/>
      <c r="R190" s="258"/>
      <c r="S190" s="258"/>
      <c r="T190" s="258"/>
      <c r="U190" s="258"/>
    </row>
    <row r="191" spans="1:21" ht="99" customHeight="1">
      <c r="A191" s="258"/>
      <c r="B191" s="256"/>
      <c r="C191" s="270"/>
      <c r="D191" s="256"/>
      <c r="E191" s="256"/>
      <c r="F191" s="256"/>
      <c r="G191" s="261"/>
      <c r="H191" s="281"/>
      <c r="I191" s="256"/>
      <c r="J191" s="256"/>
      <c r="K191" s="258"/>
      <c r="L191" s="256"/>
      <c r="M191" s="256"/>
      <c r="N191" s="258"/>
      <c r="O191" s="258"/>
      <c r="P191" s="258"/>
      <c r="Q191" s="258"/>
      <c r="R191" s="258"/>
      <c r="S191" s="258"/>
      <c r="T191" s="258"/>
      <c r="U191" s="258"/>
    </row>
    <row r="192" spans="1:21" ht="99" customHeight="1">
      <c r="A192" s="258"/>
      <c r="B192" s="256"/>
      <c r="C192" s="270"/>
      <c r="D192" s="256"/>
      <c r="E192" s="256"/>
      <c r="F192" s="256"/>
      <c r="G192" s="261"/>
      <c r="H192" s="281"/>
      <c r="I192" s="256"/>
      <c r="J192" s="256"/>
      <c r="K192" s="258"/>
      <c r="L192" s="256"/>
      <c r="M192" s="256"/>
      <c r="N192" s="258"/>
      <c r="O192" s="258"/>
      <c r="P192" s="258"/>
      <c r="Q192" s="258"/>
      <c r="R192" s="258"/>
      <c r="S192" s="258"/>
      <c r="T192" s="258"/>
      <c r="U192" s="258"/>
    </row>
    <row r="193" spans="1:21" ht="99" customHeight="1">
      <c r="A193" s="258"/>
      <c r="B193" s="256"/>
      <c r="C193" s="270"/>
      <c r="D193" s="256"/>
      <c r="E193" s="256"/>
      <c r="F193" s="256"/>
      <c r="G193" s="261"/>
      <c r="H193" s="281"/>
      <c r="I193" s="256"/>
      <c r="J193" s="256"/>
      <c r="K193" s="258"/>
      <c r="L193" s="256"/>
      <c r="M193" s="256"/>
      <c r="N193" s="258"/>
      <c r="O193" s="258"/>
      <c r="P193" s="258"/>
      <c r="Q193" s="258"/>
      <c r="R193" s="258"/>
      <c r="S193" s="258"/>
      <c r="T193" s="258"/>
      <c r="U193" s="258"/>
    </row>
    <row r="194" spans="1:21" ht="99" customHeight="1">
      <c r="A194" s="258"/>
      <c r="B194" s="256"/>
      <c r="C194" s="270"/>
      <c r="D194" s="256"/>
      <c r="E194" s="256"/>
      <c r="F194" s="256"/>
      <c r="G194" s="261"/>
      <c r="H194" s="281"/>
      <c r="I194" s="256"/>
      <c r="J194" s="256"/>
      <c r="K194" s="258"/>
      <c r="L194" s="256"/>
      <c r="M194" s="256"/>
      <c r="N194" s="258"/>
      <c r="O194" s="258"/>
      <c r="P194" s="258"/>
      <c r="Q194" s="258"/>
      <c r="R194" s="258"/>
      <c r="S194" s="258"/>
      <c r="T194" s="258"/>
      <c r="U194" s="258"/>
    </row>
    <row r="195" spans="1:21" ht="99" customHeight="1">
      <c r="A195" s="258"/>
      <c r="B195" s="256"/>
      <c r="C195" s="270"/>
      <c r="D195" s="256"/>
      <c r="E195" s="256"/>
      <c r="F195" s="256"/>
      <c r="G195" s="261"/>
      <c r="H195" s="281"/>
      <c r="I195" s="256"/>
      <c r="J195" s="256"/>
      <c r="K195" s="258"/>
      <c r="L195" s="256"/>
      <c r="M195" s="256"/>
      <c r="N195" s="258"/>
      <c r="O195" s="258"/>
      <c r="P195" s="258"/>
      <c r="Q195" s="258"/>
      <c r="R195" s="258"/>
      <c r="S195" s="258"/>
      <c r="T195" s="258"/>
      <c r="U195" s="258"/>
    </row>
    <row r="196" spans="1:21" ht="99" customHeight="1">
      <c r="A196" s="258"/>
      <c r="B196" s="256"/>
      <c r="C196" s="270"/>
      <c r="D196" s="256"/>
      <c r="E196" s="256"/>
      <c r="F196" s="256"/>
      <c r="G196" s="261"/>
      <c r="H196" s="281"/>
      <c r="I196" s="256"/>
      <c r="J196" s="256"/>
      <c r="K196" s="258"/>
      <c r="L196" s="256"/>
      <c r="M196" s="256"/>
      <c r="N196" s="258"/>
      <c r="O196" s="258"/>
      <c r="P196" s="258"/>
      <c r="Q196" s="258"/>
      <c r="R196" s="258"/>
      <c r="S196" s="258"/>
      <c r="T196" s="258"/>
      <c r="U196" s="258"/>
    </row>
    <row r="197" spans="1:21" ht="99" customHeight="1">
      <c r="A197" s="258"/>
      <c r="B197" s="256"/>
      <c r="C197" s="270"/>
      <c r="D197" s="256"/>
      <c r="E197" s="256"/>
      <c r="F197" s="256"/>
      <c r="G197" s="261"/>
      <c r="H197" s="281"/>
      <c r="I197" s="256"/>
      <c r="J197" s="256"/>
      <c r="K197" s="258"/>
      <c r="L197" s="256"/>
      <c r="M197" s="256"/>
      <c r="N197" s="258"/>
      <c r="O197" s="258"/>
      <c r="P197" s="258"/>
      <c r="Q197" s="258"/>
      <c r="R197" s="258"/>
      <c r="S197" s="258"/>
      <c r="T197" s="258"/>
      <c r="U197" s="258"/>
    </row>
    <row r="198" spans="1:21" ht="99" customHeight="1">
      <c r="A198" s="258"/>
      <c r="B198" s="256"/>
      <c r="C198" s="270"/>
      <c r="D198" s="256"/>
      <c r="E198" s="256"/>
      <c r="F198" s="256"/>
      <c r="G198" s="261"/>
      <c r="H198" s="281"/>
      <c r="I198" s="256"/>
      <c r="J198" s="256"/>
      <c r="K198" s="258"/>
      <c r="L198" s="256"/>
      <c r="M198" s="256"/>
      <c r="N198" s="258"/>
      <c r="O198" s="258"/>
      <c r="P198" s="258"/>
      <c r="Q198" s="258"/>
      <c r="R198" s="258"/>
      <c r="S198" s="258"/>
      <c r="T198" s="258"/>
      <c r="U198" s="258"/>
    </row>
    <row r="199" spans="1:21" ht="99" customHeight="1">
      <c r="A199" s="258"/>
      <c r="B199" s="256"/>
      <c r="C199" s="270"/>
      <c r="D199" s="256"/>
      <c r="E199" s="256"/>
      <c r="F199" s="256"/>
      <c r="G199" s="261"/>
      <c r="H199" s="281"/>
      <c r="I199" s="256"/>
      <c r="J199" s="256"/>
      <c r="K199" s="258"/>
      <c r="L199" s="256"/>
      <c r="M199" s="256"/>
      <c r="N199" s="258"/>
      <c r="O199" s="258"/>
      <c r="P199" s="258"/>
      <c r="Q199" s="258"/>
      <c r="R199" s="258"/>
      <c r="S199" s="258"/>
      <c r="T199" s="258"/>
      <c r="U199" s="258"/>
    </row>
    <row r="200" spans="1:21" ht="99" customHeight="1">
      <c r="A200" s="258"/>
      <c r="B200" s="256"/>
      <c r="C200" s="270"/>
      <c r="D200" s="256"/>
      <c r="E200" s="256"/>
      <c r="F200" s="256"/>
      <c r="G200" s="261"/>
      <c r="H200" s="281"/>
      <c r="I200" s="256"/>
      <c r="J200" s="256"/>
      <c r="K200" s="258"/>
      <c r="L200" s="256"/>
      <c r="M200" s="256"/>
      <c r="N200" s="258"/>
      <c r="O200" s="258"/>
      <c r="P200" s="258"/>
      <c r="Q200" s="258"/>
      <c r="R200" s="258"/>
      <c r="S200" s="258"/>
      <c r="T200" s="258"/>
      <c r="U200" s="258"/>
    </row>
    <row r="201" spans="1:21" ht="99" customHeight="1">
      <c r="A201" s="258"/>
      <c r="B201" s="256"/>
      <c r="C201" s="270"/>
      <c r="D201" s="256"/>
      <c r="E201" s="256"/>
      <c r="F201" s="256"/>
      <c r="G201" s="261"/>
      <c r="H201" s="281"/>
      <c r="I201" s="256"/>
      <c r="J201" s="256"/>
      <c r="K201" s="258"/>
      <c r="L201" s="256"/>
      <c r="M201" s="256"/>
      <c r="N201" s="258"/>
      <c r="O201" s="258"/>
      <c r="P201" s="258"/>
      <c r="Q201" s="258"/>
      <c r="R201" s="258"/>
      <c r="S201" s="258"/>
      <c r="T201" s="258"/>
      <c r="U201" s="258"/>
    </row>
    <row r="202" spans="1:21" ht="99" customHeight="1">
      <c r="A202" s="258"/>
      <c r="B202" s="256"/>
      <c r="C202" s="270"/>
      <c r="D202" s="256"/>
      <c r="E202" s="256"/>
      <c r="F202" s="256"/>
      <c r="G202" s="261"/>
      <c r="H202" s="281"/>
      <c r="I202" s="256"/>
      <c r="J202" s="256"/>
      <c r="K202" s="258"/>
      <c r="L202" s="256"/>
      <c r="M202" s="256"/>
      <c r="N202" s="258"/>
      <c r="O202" s="258"/>
      <c r="P202" s="258"/>
      <c r="Q202" s="258"/>
      <c r="R202" s="258"/>
      <c r="S202" s="258"/>
      <c r="T202" s="258"/>
      <c r="U202" s="258"/>
    </row>
    <row r="203" spans="1:21" ht="99" customHeight="1">
      <c r="A203" s="258"/>
      <c r="B203" s="256"/>
      <c r="C203" s="270"/>
      <c r="D203" s="256"/>
      <c r="E203" s="256"/>
      <c r="F203" s="256"/>
      <c r="G203" s="261"/>
      <c r="H203" s="281"/>
      <c r="I203" s="256"/>
      <c r="J203" s="256"/>
      <c r="K203" s="258"/>
      <c r="L203" s="256"/>
      <c r="M203" s="256"/>
      <c r="N203" s="258"/>
      <c r="O203" s="258"/>
      <c r="P203" s="258"/>
      <c r="Q203" s="258"/>
      <c r="R203" s="258"/>
      <c r="S203" s="258"/>
      <c r="T203" s="258"/>
      <c r="U203" s="258"/>
    </row>
    <row r="204" spans="1:21" ht="99" customHeight="1">
      <c r="A204" s="258"/>
      <c r="B204" s="256"/>
      <c r="C204" s="270"/>
      <c r="D204" s="256"/>
      <c r="E204" s="256"/>
      <c r="F204" s="256"/>
      <c r="G204" s="261"/>
      <c r="H204" s="281"/>
      <c r="I204" s="256"/>
      <c r="J204" s="256"/>
      <c r="K204" s="258"/>
      <c r="L204" s="256"/>
      <c r="M204" s="256"/>
      <c r="N204" s="258"/>
      <c r="O204" s="258"/>
      <c r="P204" s="258"/>
      <c r="Q204" s="258"/>
      <c r="R204" s="258"/>
      <c r="S204" s="258"/>
      <c r="T204" s="258"/>
      <c r="U204" s="258"/>
    </row>
    <row r="205" spans="1:21" ht="99" customHeight="1">
      <c r="A205" s="258"/>
      <c r="B205" s="256"/>
      <c r="C205" s="270"/>
      <c r="D205" s="256"/>
      <c r="E205" s="256"/>
      <c r="F205" s="256"/>
      <c r="G205" s="261"/>
      <c r="H205" s="281"/>
      <c r="I205" s="256"/>
      <c r="J205" s="256"/>
      <c r="K205" s="258"/>
      <c r="L205" s="256"/>
      <c r="M205" s="256"/>
      <c r="N205" s="258"/>
      <c r="O205" s="258"/>
      <c r="P205" s="258"/>
      <c r="Q205" s="258"/>
      <c r="R205" s="258"/>
      <c r="S205" s="258"/>
      <c r="T205" s="258"/>
      <c r="U205" s="258"/>
    </row>
    <row r="206" spans="1:21" ht="99" customHeight="1">
      <c r="A206" s="258"/>
      <c r="B206" s="256"/>
      <c r="C206" s="270"/>
      <c r="D206" s="256"/>
      <c r="E206" s="256"/>
      <c r="F206" s="256"/>
      <c r="G206" s="261"/>
      <c r="H206" s="281"/>
      <c r="I206" s="256"/>
      <c r="J206" s="256"/>
      <c r="K206" s="258"/>
      <c r="L206" s="256"/>
      <c r="M206" s="256"/>
      <c r="N206" s="258"/>
      <c r="O206" s="258"/>
      <c r="P206" s="258"/>
      <c r="Q206" s="258"/>
      <c r="R206" s="258"/>
      <c r="S206" s="258"/>
      <c r="T206" s="258"/>
      <c r="U206" s="258"/>
    </row>
    <row r="207" spans="1:21" ht="99" customHeight="1">
      <c r="A207" s="258"/>
      <c r="B207" s="256"/>
      <c r="C207" s="270"/>
      <c r="D207" s="256"/>
      <c r="E207" s="256"/>
      <c r="F207" s="256"/>
      <c r="G207" s="261"/>
      <c r="H207" s="281"/>
      <c r="I207" s="256"/>
      <c r="J207" s="256"/>
      <c r="K207" s="258"/>
      <c r="L207" s="256"/>
      <c r="M207" s="256"/>
      <c r="N207" s="258"/>
      <c r="O207" s="258"/>
      <c r="P207" s="258"/>
      <c r="Q207" s="258"/>
      <c r="R207" s="258"/>
      <c r="S207" s="258"/>
      <c r="T207" s="258"/>
      <c r="U207" s="258"/>
    </row>
    <row r="208" spans="1:21" ht="99" customHeight="1">
      <c r="A208" s="258"/>
      <c r="B208" s="256"/>
      <c r="C208" s="270"/>
      <c r="D208" s="256"/>
      <c r="E208" s="256"/>
      <c r="F208" s="256"/>
      <c r="G208" s="261"/>
      <c r="H208" s="281"/>
      <c r="I208" s="256"/>
      <c r="J208" s="256"/>
      <c r="K208" s="258"/>
      <c r="L208" s="256"/>
      <c r="M208" s="256"/>
      <c r="N208" s="258"/>
      <c r="O208" s="258"/>
      <c r="P208" s="258"/>
      <c r="Q208" s="258"/>
      <c r="R208" s="258"/>
      <c r="S208" s="258"/>
      <c r="T208" s="258"/>
      <c r="U208" s="258"/>
    </row>
    <row r="209" spans="1:21" ht="99" customHeight="1">
      <c r="A209" s="258"/>
      <c r="B209" s="256"/>
      <c r="C209" s="270"/>
      <c r="D209" s="256"/>
      <c r="E209" s="256"/>
      <c r="F209" s="256"/>
      <c r="G209" s="261"/>
      <c r="H209" s="281"/>
      <c r="I209" s="256"/>
      <c r="J209" s="256"/>
      <c r="K209" s="258"/>
      <c r="L209" s="256"/>
      <c r="M209" s="256"/>
      <c r="N209" s="258"/>
      <c r="O209" s="258"/>
      <c r="P209" s="258"/>
      <c r="Q209" s="258"/>
      <c r="R209" s="258"/>
      <c r="S209" s="258"/>
      <c r="T209" s="258"/>
      <c r="U209" s="258"/>
    </row>
    <row r="210" spans="1:21" ht="99" customHeight="1">
      <c r="A210" s="258"/>
      <c r="B210" s="256"/>
      <c r="C210" s="270"/>
      <c r="D210" s="256"/>
      <c r="E210" s="256"/>
      <c r="F210" s="256"/>
      <c r="G210" s="261"/>
      <c r="H210" s="281"/>
      <c r="I210" s="256"/>
      <c r="J210" s="256"/>
      <c r="K210" s="258"/>
      <c r="L210" s="256"/>
      <c r="M210" s="256"/>
      <c r="N210" s="258"/>
      <c r="O210" s="258"/>
      <c r="P210" s="258"/>
      <c r="Q210" s="258"/>
      <c r="R210" s="258"/>
      <c r="S210" s="258"/>
      <c r="T210" s="258"/>
      <c r="U210" s="258"/>
    </row>
    <row r="211" spans="1:21" ht="99" customHeight="1">
      <c r="A211" s="258"/>
      <c r="B211" s="256"/>
      <c r="C211" s="270"/>
      <c r="D211" s="256"/>
      <c r="E211" s="256"/>
      <c r="F211" s="256"/>
      <c r="G211" s="261"/>
      <c r="H211" s="281"/>
      <c r="I211" s="256"/>
      <c r="J211" s="256"/>
      <c r="K211" s="258"/>
      <c r="L211" s="256"/>
      <c r="M211" s="256"/>
      <c r="N211" s="258"/>
      <c r="O211" s="258"/>
      <c r="P211" s="258"/>
      <c r="Q211" s="258"/>
      <c r="R211" s="258"/>
      <c r="S211" s="258"/>
      <c r="T211" s="258"/>
      <c r="U211" s="258"/>
    </row>
    <row r="212" spans="1:21" ht="99" customHeight="1">
      <c r="A212" s="258"/>
      <c r="B212" s="256"/>
      <c r="C212" s="270"/>
      <c r="D212" s="256"/>
      <c r="E212" s="256"/>
      <c r="F212" s="256"/>
      <c r="G212" s="261"/>
      <c r="H212" s="281"/>
      <c r="I212" s="256"/>
      <c r="J212" s="256"/>
      <c r="K212" s="258"/>
      <c r="L212" s="256"/>
      <c r="M212" s="256"/>
      <c r="N212" s="258"/>
      <c r="O212" s="258"/>
      <c r="P212" s="258"/>
      <c r="Q212" s="258"/>
      <c r="R212" s="258"/>
      <c r="S212" s="258"/>
      <c r="T212" s="258"/>
      <c r="U212" s="258"/>
    </row>
    <row r="213" spans="1:21" ht="99" customHeight="1">
      <c r="A213" s="258"/>
      <c r="B213" s="256"/>
      <c r="C213" s="270"/>
      <c r="D213" s="256"/>
      <c r="E213" s="256"/>
      <c r="F213" s="256"/>
      <c r="G213" s="261"/>
      <c r="H213" s="281"/>
      <c r="I213" s="256"/>
      <c r="J213" s="256"/>
      <c r="K213" s="258"/>
      <c r="L213" s="256"/>
      <c r="M213" s="256"/>
      <c r="N213" s="258"/>
      <c r="O213" s="258"/>
      <c r="P213" s="258"/>
      <c r="Q213" s="258"/>
      <c r="R213" s="258"/>
      <c r="S213" s="258"/>
      <c r="T213" s="258"/>
      <c r="U213" s="258"/>
    </row>
    <row r="214" spans="1:21" ht="99" customHeight="1">
      <c r="A214" s="258"/>
      <c r="B214" s="256"/>
      <c r="C214" s="270"/>
      <c r="D214" s="256"/>
      <c r="E214" s="256"/>
      <c r="F214" s="256"/>
      <c r="G214" s="261"/>
      <c r="H214" s="281"/>
      <c r="I214" s="256"/>
      <c r="J214" s="256"/>
      <c r="K214" s="258"/>
      <c r="L214" s="256"/>
      <c r="M214" s="256"/>
      <c r="N214" s="258"/>
      <c r="O214" s="258"/>
      <c r="P214" s="258"/>
      <c r="Q214" s="258"/>
      <c r="R214" s="258"/>
      <c r="S214" s="258"/>
      <c r="T214" s="258"/>
      <c r="U214" s="258"/>
    </row>
    <row r="215" spans="1:21" ht="99" customHeight="1">
      <c r="A215" s="258"/>
      <c r="B215" s="256"/>
      <c r="C215" s="270"/>
      <c r="D215" s="256"/>
      <c r="E215" s="256"/>
      <c r="F215" s="256"/>
      <c r="G215" s="261"/>
      <c r="H215" s="281"/>
      <c r="I215" s="256"/>
      <c r="J215" s="256"/>
      <c r="K215" s="258"/>
      <c r="L215" s="256"/>
      <c r="M215" s="256"/>
      <c r="N215" s="258"/>
      <c r="O215" s="258"/>
      <c r="P215" s="258"/>
      <c r="Q215" s="258"/>
      <c r="R215" s="258"/>
      <c r="S215" s="258"/>
      <c r="T215" s="258"/>
      <c r="U215" s="258"/>
    </row>
    <row r="216" spans="1:21" ht="99" customHeight="1">
      <c r="A216" s="258"/>
      <c r="B216" s="256"/>
      <c r="C216" s="270"/>
      <c r="D216" s="256"/>
      <c r="E216" s="256"/>
      <c r="F216" s="256"/>
      <c r="G216" s="261"/>
      <c r="H216" s="281"/>
      <c r="I216" s="256"/>
      <c r="J216" s="256"/>
      <c r="K216" s="258"/>
      <c r="L216" s="256"/>
      <c r="M216" s="256"/>
      <c r="N216" s="258"/>
      <c r="O216" s="258"/>
      <c r="P216" s="258"/>
      <c r="Q216" s="258"/>
      <c r="R216" s="258"/>
      <c r="S216" s="258"/>
      <c r="T216" s="258"/>
      <c r="U216" s="258"/>
    </row>
    <row r="217" spans="1:21" ht="99" customHeight="1">
      <c r="A217" s="258"/>
      <c r="B217" s="256"/>
      <c r="C217" s="270"/>
      <c r="D217" s="256"/>
      <c r="E217" s="256"/>
      <c r="F217" s="256"/>
      <c r="G217" s="261"/>
      <c r="H217" s="281"/>
      <c r="I217" s="256"/>
      <c r="J217" s="256"/>
      <c r="K217" s="258"/>
      <c r="L217" s="256"/>
      <c r="M217" s="256"/>
      <c r="N217" s="258"/>
      <c r="O217" s="258"/>
      <c r="P217" s="258"/>
      <c r="Q217" s="258"/>
      <c r="R217" s="258"/>
      <c r="S217" s="258"/>
      <c r="T217" s="258"/>
      <c r="U217" s="258"/>
    </row>
    <row r="218" spans="1:21" ht="99" customHeight="1">
      <c r="A218" s="258"/>
      <c r="B218" s="256"/>
      <c r="C218" s="270"/>
      <c r="D218" s="256"/>
      <c r="E218" s="256"/>
      <c r="F218" s="256"/>
      <c r="G218" s="261"/>
      <c r="H218" s="281"/>
      <c r="I218" s="256"/>
      <c r="J218" s="256"/>
      <c r="K218" s="258"/>
      <c r="L218" s="256"/>
      <c r="M218" s="256"/>
      <c r="N218" s="258"/>
      <c r="O218" s="258"/>
      <c r="P218" s="258"/>
      <c r="Q218" s="258"/>
      <c r="R218" s="258"/>
      <c r="S218" s="258"/>
      <c r="T218" s="258"/>
      <c r="U218" s="258"/>
    </row>
    <row r="219" spans="1:21" ht="99" customHeight="1">
      <c r="A219" s="258"/>
      <c r="B219" s="256"/>
      <c r="C219" s="270"/>
      <c r="D219" s="256"/>
      <c r="E219" s="256"/>
      <c r="F219" s="256"/>
      <c r="G219" s="261"/>
      <c r="H219" s="281"/>
      <c r="I219" s="256"/>
      <c r="J219" s="256"/>
      <c r="K219" s="258"/>
      <c r="L219" s="256"/>
      <c r="M219" s="256"/>
      <c r="N219" s="258"/>
      <c r="O219" s="258"/>
      <c r="P219" s="258"/>
      <c r="Q219" s="258"/>
      <c r="R219" s="258"/>
      <c r="S219" s="258"/>
      <c r="T219" s="258"/>
      <c r="U219" s="258"/>
    </row>
    <row r="220" spans="1:21" ht="99" customHeight="1">
      <c r="A220" s="258"/>
      <c r="B220" s="256"/>
      <c r="C220" s="270"/>
      <c r="D220" s="256"/>
      <c r="E220" s="256"/>
      <c r="F220" s="256"/>
      <c r="G220" s="261"/>
      <c r="H220" s="281"/>
      <c r="I220" s="256"/>
      <c r="J220" s="256"/>
      <c r="K220" s="258"/>
      <c r="L220" s="256"/>
      <c r="M220" s="256"/>
      <c r="N220" s="258"/>
      <c r="O220" s="258"/>
      <c r="P220" s="258"/>
      <c r="Q220" s="258"/>
      <c r="R220" s="258"/>
      <c r="S220" s="258"/>
      <c r="T220" s="258"/>
      <c r="U220" s="258"/>
    </row>
    <row r="221" spans="1:21" ht="99" customHeight="1">
      <c r="A221" s="258"/>
      <c r="B221" s="256"/>
      <c r="C221" s="270"/>
      <c r="D221" s="256"/>
      <c r="E221" s="256"/>
      <c r="F221" s="256"/>
      <c r="G221" s="261"/>
      <c r="H221" s="281"/>
      <c r="I221" s="256"/>
      <c r="J221" s="256"/>
      <c r="K221" s="258"/>
      <c r="L221" s="256"/>
      <c r="M221" s="256"/>
      <c r="N221" s="258"/>
      <c r="O221" s="258"/>
      <c r="P221" s="258"/>
      <c r="Q221" s="258"/>
      <c r="R221" s="258"/>
      <c r="S221" s="258"/>
      <c r="T221" s="258"/>
      <c r="U221" s="258"/>
    </row>
    <row r="222" spans="1:21" ht="99" customHeight="1">
      <c r="A222" s="258"/>
      <c r="B222" s="256"/>
      <c r="C222" s="270"/>
      <c r="D222" s="256"/>
      <c r="E222" s="256"/>
      <c r="F222" s="256"/>
      <c r="G222" s="261"/>
      <c r="H222" s="281"/>
      <c r="I222" s="256"/>
      <c r="J222" s="256"/>
      <c r="K222" s="258"/>
      <c r="L222" s="256"/>
      <c r="M222" s="256"/>
      <c r="N222" s="258"/>
      <c r="O222" s="258"/>
      <c r="P222" s="258"/>
      <c r="Q222" s="258"/>
      <c r="R222" s="258"/>
      <c r="S222" s="258"/>
      <c r="T222" s="258"/>
      <c r="U222" s="258"/>
    </row>
    <row r="223" spans="1:21" ht="99" customHeight="1">
      <c r="A223" s="258"/>
      <c r="B223" s="256"/>
      <c r="C223" s="270"/>
      <c r="D223" s="256"/>
      <c r="E223" s="256"/>
      <c r="F223" s="256"/>
      <c r="G223" s="261"/>
      <c r="H223" s="281"/>
      <c r="I223" s="256"/>
      <c r="J223" s="256"/>
      <c r="K223" s="258"/>
      <c r="L223" s="256"/>
      <c r="M223" s="256"/>
      <c r="N223" s="258"/>
      <c r="O223" s="258"/>
      <c r="P223" s="258"/>
      <c r="Q223" s="258"/>
      <c r="R223" s="258"/>
      <c r="S223" s="258"/>
      <c r="T223" s="258"/>
      <c r="U223" s="258"/>
    </row>
    <row r="224" spans="1:21" ht="99" customHeight="1">
      <c r="H224" s="281"/>
    </row>
    <row r="225" spans="8:8" ht="99" customHeight="1">
      <c r="H225" s="281"/>
    </row>
    <row r="226" spans="8:8" ht="99" customHeight="1">
      <c r="H226" s="281"/>
    </row>
    <row r="227" spans="8:8" ht="99" customHeight="1">
      <c r="H227" s="281"/>
    </row>
    <row r="228" spans="8:8" ht="99" customHeight="1">
      <c r="H228" s="281"/>
    </row>
    <row r="229" spans="8:8" ht="99" customHeight="1">
      <c r="H229" s="281"/>
    </row>
    <row r="230" spans="8:8" ht="99" customHeight="1">
      <c r="H230" s="281"/>
    </row>
    <row r="231" spans="8:8" ht="99" customHeight="1">
      <c r="H231" s="281"/>
    </row>
    <row r="232" spans="8:8" ht="99" customHeight="1">
      <c r="H232" s="281"/>
    </row>
    <row r="233" spans="8:8" ht="99" customHeight="1">
      <c r="H233" s="281"/>
    </row>
    <row r="234" spans="8:8" ht="99" customHeight="1">
      <c r="H234" s="281"/>
    </row>
    <row r="235" spans="8:8" ht="99" customHeight="1">
      <c r="H235" s="281"/>
    </row>
    <row r="236" spans="8:8" ht="99" customHeight="1">
      <c r="H236" s="281"/>
    </row>
    <row r="237" spans="8:8" ht="99" customHeight="1">
      <c r="H237" s="281"/>
    </row>
    <row r="238" spans="8:8" ht="99" customHeight="1">
      <c r="H238" s="281"/>
    </row>
    <row r="239" spans="8:8" ht="99" customHeight="1">
      <c r="H239" s="281"/>
    </row>
    <row r="240" spans="8:8" ht="99" customHeight="1">
      <c r="H240" s="281"/>
    </row>
    <row r="241" spans="8:8" ht="99" customHeight="1">
      <c r="H241" s="281"/>
    </row>
    <row r="242" spans="8:8" ht="99" customHeight="1">
      <c r="H242" s="281"/>
    </row>
    <row r="243" spans="8:8" ht="99" customHeight="1">
      <c r="H243" s="281"/>
    </row>
    <row r="244" spans="8:8" ht="99" customHeight="1">
      <c r="H244" s="281"/>
    </row>
    <row r="245" spans="8:8" ht="99" customHeight="1">
      <c r="H245" s="281"/>
    </row>
    <row r="246" spans="8:8" ht="99" customHeight="1">
      <c r="H246" s="281"/>
    </row>
    <row r="247" spans="8:8" ht="99" customHeight="1">
      <c r="H247" s="281"/>
    </row>
    <row r="248" spans="8:8" ht="99" customHeight="1">
      <c r="H248" s="281"/>
    </row>
    <row r="249" spans="8:8" ht="99" customHeight="1">
      <c r="H249" s="281"/>
    </row>
    <row r="250" spans="8:8" ht="99" customHeight="1">
      <c r="H250" s="281"/>
    </row>
    <row r="251" spans="8:8" ht="99" customHeight="1">
      <c r="H251" s="281"/>
    </row>
    <row r="252" spans="8:8" ht="99" customHeight="1">
      <c r="H252" s="281"/>
    </row>
    <row r="253" spans="8:8" ht="99" customHeight="1">
      <c r="H253" s="281"/>
    </row>
    <row r="254" spans="8:8" ht="99" customHeight="1">
      <c r="H254" s="281"/>
    </row>
    <row r="255" spans="8:8" ht="99" customHeight="1">
      <c r="H255" s="281"/>
    </row>
    <row r="256" spans="8:8" ht="99" customHeight="1">
      <c r="H256" s="281"/>
    </row>
    <row r="257" spans="8:8" ht="99" customHeight="1">
      <c r="H257" s="281"/>
    </row>
    <row r="258" spans="8:8" ht="99" customHeight="1">
      <c r="H258" s="281"/>
    </row>
    <row r="259" spans="8:8" ht="99" customHeight="1">
      <c r="H259" s="281"/>
    </row>
    <row r="260" spans="8:8" ht="99" customHeight="1">
      <c r="H260" s="281"/>
    </row>
    <row r="261" spans="8:8" ht="99" customHeight="1">
      <c r="H261" s="281"/>
    </row>
    <row r="262" spans="8:8" ht="99" customHeight="1">
      <c r="H262" s="281"/>
    </row>
    <row r="263" spans="8:8" ht="99" customHeight="1">
      <c r="H263" s="281"/>
    </row>
    <row r="264" spans="8:8" ht="99" customHeight="1">
      <c r="H264" s="281"/>
    </row>
    <row r="265" spans="8:8" ht="99" customHeight="1">
      <c r="H265" s="281"/>
    </row>
    <row r="266" spans="8:8" ht="99" customHeight="1">
      <c r="H266" s="281"/>
    </row>
    <row r="267" spans="8:8" ht="99" customHeight="1">
      <c r="H267" s="281"/>
    </row>
    <row r="268" spans="8:8" ht="99" customHeight="1">
      <c r="H268" s="281"/>
    </row>
    <row r="269" spans="8:8" ht="99" customHeight="1">
      <c r="H269" s="281"/>
    </row>
    <row r="270" spans="8:8" ht="99" customHeight="1">
      <c r="H270" s="281"/>
    </row>
    <row r="271" spans="8:8" ht="99" customHeight="1">
      <c r="H271" s="281"/>
    </row>
    <row r="272" spans="8:8" ht="99" customHeight="1">
      <c r="H272" s="281"/>
    </row>
    <row r="273" spans="8:8" ht="99" customHeight="1">
      <c r="H273" s="281"/>
    </row>
    <row r="274" spans="8:8" ht="99" customHeight="1">
      <c r="H274" s="281"/>
    </row>
    <row r="275" spans="8:8" ht="99" customHeight="1">
      <c r="H275" s="281"/>
    </row>
    <row r="276" spans="8:8" ht="99" customHeight="1">
      <c r="H276" s="281"/>
    </row>
    <row r="277" spans="8:8" ht="99" customHeight="1">
      <c r="H277" s="281"/>
    </row>
    <row r="278" spans="8:8" ht="99" customHeight="1">
      <c r="H278" s="281"/>
    </row>
    <row r="279" spans="8:8" ht="99" customHeight="1">
      <c r="H279" s="281"/>
    </row>
    <row r="280" spans="8:8" ht="99" customHeight="1">
      <c r="H280" s="281"/>
    </row>
    <row r="281" spans="8:8" ht="99" customHeight="1">
      <c r="H281" s="281"/>
    </row>
    <row r="282" spans="8:8" ht="99" customHeight="1">
      <c r="H282" s="281"/>
    </row>
    <row r="283" spans="8:8" ht="99" customHeight="1">
      <c r="H283" s="281"/>
    </row>
    <row r="284" spans="8:8" ht="99" customHeight="1">
      <c r="H284" s="281"/>
    </row>
    <row r="285" spans="8:8" ht="99" customHeight="1">
      <c r="H285" s="281"/>
    </row>
    <row r="286" spans="8:8" ht="99" customHeight="1">
      <c r="H286" s="281"/>
    </row>
    <row r="287" spans="8:8" ht="99" customHeight="1">
      <c r="H287" s="281"/>
    </row>
    <row r="288" spans="8:8" ht="99" customHeight="1">
      <c r="H288" s="281"/>
    </row>
    <row r="289" spans="8:8" ht="99" customHeight="1">
      <c r="H289" s="281"/>
    </row>
    <row r="290" spans="8:8" ht="99" customHeight="1">
      <c r="H290" s="281"/>
    </row>
    <row r="291" spans="8:8" ht="99" customHeight="1">
      <c r="H291" s="281"/>
    </row>
    <row r="292" spans="8:8" ht="99" customHeight="1">
      <c r="H292" s="281"/>
    </row>
    <row r="293" spans="8:8" ht="99" customHeight="1">
      <c r="H293" s="281"/>
    </row>
    <row r="294" spans="8:8" ht="99" customHeight="1">
      <c r="H294" s="281"/>
    </row>
    <row r="295" spans="8:8" ht="99" customHeight="1">
      <c r="H295" s="281"/>
    </row>
    <row r="296" spans="8:8" ht="99" customHeight="1">
      <c r="H296" s="281"/>
    </row>
    <row r="297" spans="8:8" ht="99" customHeight="1">
      <c r="H297" s="281"/>
    </row>
    <row r="298" spans="8:8" ht="99" customHeight="1">
      <c r="H298" s="281"/>
    </row>
    <row r="299" spans="8:8" ht="99" customHeight="1">
      <c r="H299" s="281"/>
    </row>
    <row r="300" spans="8:8" ht="99" customHeight="1">
      <c r="H300" s="281"/>
    </row>
    <row r="301" spans="8:8" ht="99" customHeight="1">
      <c r="H301" s="281"/>
    </row>
    <row r="302" spans="8:8" ht="99" customHeight="1">
      <c r="H302" s="281"/>
    </row>
    <row r="303" spans="8:8" ht="99" customHeight="1">
      <c r="H303" s="281"/>
    </row>
    <row r="304" spans="8:8" ht="99" customHeight="1">
      <c r="H304" s="281"/>
    </row>
    <row r="305" spans="8:8" ht="99" customHeight="1">
      <c r="H305" s="281"/>
    </row>
    <row r="306" spans="8:8" ht="99" customHeight="1">
      <c r="H306" s="281"/>
    </row>
    <row r="307" spans="8:8" ht="99" customHeight="1">
      <c r="H307" s="281"/>
    </row>
    <row r="308" spans="8:8" ht="99" customHeight="1">
      <c r="H308" s="281"/>
    </row>
    <row r="309" spans="8:8" ht="99" customHeight="1">
      <c r="H309" s="281"/>
    </row>
    <row r="310" spans="8:8" ht="99" customHeight="1">
      <c r="H310" s="281"/>
    </row>
    <row r="311" spans="8:8" ht="99" customHeight="1">
      <c r="H311" s="281"/>
    </row>
    <row r="312" spans="8:8" ht="99" customHeight="1">
      <c r="H312" s="281"/>
    </row>
    <row r="313" spans="8:8" ht="99" customHeight="1">
      <c r="H313" s="281"/>
    </row>
    <row r="314" spans="8:8" ht="99" customHeight="1">
      <c r="H314" s="281"/>
    </row>
    <row r="315" spans="8:8" ht="99" customHeight="1">
      <c r="H315" s="281"/>
    </row>
    <row r="316" spans="8:8" ht="99" customHeight="1">
      <c r="H316" s="281"/>
    </row>
    <row r="317" spans="8:8" ht="99" customHeight="1">
      <c r="H317" s="281"/>
    </row>
    <row r="318" spans="8:8" ht="99" customHeight="1">
      <c r="H318" s="281"/>
    </row>
    <row r="319" spans="8:8" ht="99" customHeight="1">
      <c r="H319" s="281"/>
    </row>
    <row r="320" spans="8:8" ht="99" customHeight="1">
      <c r="H320" s="281"/>
    </row>
    <row r="321" spans="8:8" ht="99" customHeight="1">
      <c r="H321" s="281"/>
    </row>
    <row r="322" spans="8:8" ht="99" customHeight="1">
      <c r="H322" s="281"/>
    </row>
    <row r="323" spans="8:8" ht="99" customHeight="1">
      <c r="H323" s="281"/>
    </row>
    <row r="324" spans="8:8" ht="99" customHeight="1">
      <c r="H324" s="281"/>
    </row>
    <row r="325" spans="8:8" ht="99" customHeight="1">
      <c r="H325" s="281"/>
    </row>
    <row r="326" spans="8:8" ht="99" customHeight="1">
      <c r="H326" s="281"/>
    </row>
    <row r="327" spans="8:8" ht="99" customHeight="1">
      <c r="H327" s="281"/>
    </row>
    <row r="328" spans="8:8" ht="99" customHeight="1">
      <c r="H328" s="281"/>
    </row>
    <row r="329" spans="8:8" ht="99" customHeight="1">
      <c r="H329" s="281"/>
    </row>
    <row r="330" spans="8:8" ht="99" customHeight="1">
      <c r="H330" s="281"/>
    </row>
    <row r="331" spans="8:8" ht="99" customHeight="1">
      <c r="H331" s="281"/>
    </row>
    <row r="332" spans="8:8" ht="99" customHeight="1">
      <c r="H332" s="281"/>
    </row>
    <row r="333" spans="8:8" ht="99" customHeight="1">
      <c r="H333" s="281"/>
    </row>
    <row r="334" spans="8:8" ht="99" customHeight="1">
      <c r="H334" s="281"/>
    </row>
    <row r="335" spans="8:8" ht="99" customHeight="1">
      <c r="H335" s="281"/>
    </row>
    <row r="336" spans="8:8" ht="99" customHeight="1">
      <c r="H336" s="281"/>
    </row>
    <row r="337" spans="8:8" ht="99" customHeight="1">
      <c r="H337" s="281"/>
    </row>
    <row r="338" spans="8:8" ht="99" customHeight="1">
      <c r="H338" s="281"/>
    </row>
    <row r="339" spans="8:8" ht="99" customHeight="1">
      <c r="H339" s="281"/>
    </row>
    <row r="340" spans="8:8" ht="99" customHeight="1">
      <c r="H340" s="281"/>
    </row>
    <row r="341" spans="8:8" ht="99" customHeight="1">
      <c r="H341" s="281"/>
    </row>
    <row r="342" spans="8:8" ht="99" customHeight="1">
      <c r="H342" s="281"/>
    </row>
    <row r="343" spans="8:8" ht="99" customHeight="1">
      <c r="H343" s="281"/>
    </row>
    <row r="344" spans="8:8" ht="99" customHeight="1">
      <c r="H344" s="281"/>
    </row>
    <row r="345" spans="8:8" ht="99" customHeight="1">
      <c r="H345" s="281"/>
    </row>
    <row r="346" spans="8:8" ht="99" customHeight="1">
      <c r="H346" s="281"/>
    </row>
    <row r="347" spans="8:8" ht="99" customHeight="1">
      <c r="H347" s="281"/>
    </row>
    <row r="348" spans="8:8" ht="99" customHeight="1">
      <c r="H348" s="281"/>
    </row>
    <row r="349" spans="8:8" ht="99" customHeight="1">
      <c r="H349" s="281"/>
    </row>
    <row r="350" spans="8:8" ht="99" customHeight="1">
      <c r="H350" s="281"/>
    </row>
    <row r="351" spans="8:8" ht="99" customHeight="1">
      <c r="H351" s="281"/>
    </row>
    <row r="352" spans="8:8" ht="99" customHeight="1">
      <c r="H352" s="281"/>
    </row>
    <row r="353" spans="8:8" ht="99" customHeight="1">
      <c r="H353" s="281"/>
    </row>
    <row r="354" spans="8:8" ht="99" customHeight="1">
      <c r="H354" s="281"/>
    </row>
    <row r="355" spans="8:8" ht="99" customHeight="1">
      <c r="H355" s="281"/>
    </row>
    <row r="356" spans="8:8" ht="99" customHeight="1">
      <c r="H356" s="281"/>
    </row>
    <row r="357" spans="8:8" ht="99" customHeight="1">
      <c r="H357" s="281"/>
    </row>
    <row r="358" spans="8:8" ht="99" customHeight="1">
      <c r="H358" s="281"/>
    </row>
    <row r="359" spans="8:8" ht="99" customHeight="1">
      <c r="H359" s="281"/>
    </row>
    <row r="360" spans="8:8" ht="99" customHeight="1">
      <c r="H360" s="281"/>
    </row>
    <row r="361" spans="8:8" ht="99" customHeight="1">
      <c r="H361" s="281"/>
    </row>
    <row r="362" spans="8:8" ht="99" customHeight="1">
      <c r="H362" s="281"/>
    </row>
    <row r="363" spans="8:8" ht="99" customHeight="1">
      <c r="H363" s="281"/>
    </row>
    <row r="364" spans="8:8" ht="99" customHeight="1">
      <c r="H364" s="281"/>
    </row>
    <row r="365" spans="8:8" ht="99" customHeight="1">
      <c r="H365" s="281"/>
    </row>
    <row r="366" spans="8:8" ht="99" customHeight="1">
      <c r="H366" s="281"/>
    </row>
    <row r="367" spans="8:8" ht="99" customHeight="1">
      <c r="H367" s="281"/>
    </row>
    <row r="368" spans="8:8" ht="99" customHeight="1">
      <c r="H368" s="281"/>
    </row>
    <row r="369" spans="8:8" ht="99" customHeight="1">
      <c r="H369" s="281"/>
    </row>
    <row r="370" spans="8:8" ht="99" customHeight="1">
      <c r="H370" s="281"/>
    </row>
    <row r="371" spans="8:8" ht="99" customHeight="1">
      <c r="H371" s="281"/>
    </row>
    <row r="372" spans="8:8" ht="99" customHeight="1">
      <c r="H372" s="281"/>
    </row>
    <row r="373" spans="8:8" ht="99" customHeight="1">
      <c r="H373" s="281"/>
    </row>
    <row r="374" spans="8:8" ht="99" customHeight="1">
      <c r="H374" s="281"/>
    </row>
    <row r="375" spans="8:8" ht="99" customHeight="1">
      <c r="H375" s="281"/>
    </row>
    <row r="376" spans="8:8" ht="99" customHeight="1">
      <c r="H376" s="281"/>
    </row>
    <row r="377" spans="8:8" ht="99" customHeight="1">
      <c r="H377" s="281"/>
    </row>
    <row r="378" spans="8:8" ht="99" customHeight="1">
      <c r="H378" s="281"/>
    </row>
    <row r="379" spans="8:8" ht="99" customHeight="1">
      <c r="H379" s="281"/>
    </row>
    <row r="380" spans="8:8" ht="99" customHeight="1">
      <c r="H380" s="281"/>
    </row>
    <row r="381" spans="8:8" ht="99" customHeight="1">
      <c r="H381" s="281"/>
    </row>
    <row r="382" spans="8:8" ht="99" customHeight="1">
      <c r="H382" s="281"/>
    </row>
    <row r="383" spans="8:8" ht="99" customHeight="1">
      <c r="H383" s="281"/>
    </row>
    <row r="384" spans="8:8" ht="99" customHeight="1">
      <c r="H384" s="281"/>
    </row>
    <row r="385" spans="8:8" ht="99" customHeight="1">
      <c r="H385" s="281"/>
    </row>
    <row r="386" spans="8:8" ht="99" customHeight="1">
      <c r="H386" s="281"/>
    </row>
    <row r="387" spans="8:8" ht="99" customHeight="1">
      <c r="H387" s="281"/>
    </row>
    <row r="388" spans="8:8" ht="99" customHeight="1">
      <c r="H388" s="281"/>
    </row>
    <row r="389" spans="8:8" ht="99" customHeight="1">
      <c r="H389" s="281"/>
    </row>
    <row r="390" spans="8:8" ht="99" customHeight="1">
      <c r="H390" s="281"/>
    </row>
    <row r="391" spans="8:8" ht="99" customHeight="1">
      <c r="H391" s="281"/>
    </row>
    <row r="392" spans="8:8" ht="99" customHeight="1">
      <c r="H392" s="281"/>
    </row>
    <row r="393" spans="8:8" ht="99" customHeight="1">
      <c r="H393" s="281"/>
    </row>
    <row r="394" spans="8:8" ht="99" customHeight="1">
      <c r="H394" s="281"/>
    </row>
    <row r="395" spans="8:8" ht="99" customHeight="1">
      <c r="H395" s="281"/>
    </row>
    <row r="396" spans="8:8" ht="99" customHeight="1">
      <c r="H396" s="281"/>
    </row>
    <row r="397" spans="8:8" ht="99" customHeight="1">
      <c r="H397" s="281"/>
    </row>
    <row r="398" spans="8:8" ht="99" customHeight="1">
      <c r="H398" s="281"/>
    </row>
    <row r="399" spans="8:8" ht="99" customHeight="1">
      <c r="H399" s="281"/>
    </row>
    <row r="400" spans="8:8" ht="99" customHeight="1">
      <c r="H400" s="281"/>
    </row>
    <row r="401" spans="8:8" ht="99" customHeight="1">
      <c r="H401" s="281"/>
    </row>
    <row r="402" spans="8:8" ht="99" customHeight="1">
      <c r="H402" s="281"/>
    </row>
    <row r="403" spans="8:8" ht="99" customHeight="1">
      <c r="H403" s="281"/>
    </row>
    <row r="404" spans="8:8" ht="99" customHeight="1">
      <c r="H404" s="281"/>
    </row>
    <row r="405" spans="8:8" ht="99" customHeight="1">
      <c r="H405" s="281"/>
    </row>
    <row r="406" spans="8:8" ht="99" customHeight="1">
      <c r="H406" s="281"/>
    </row>
    <row r="407" spans="8:8" ht="99" customHeight="1">
      <c r="H407" s="281"/>
    </row>
    <row r="408" spans="8:8" ht="99" customHeight="1">
      <c r="H408" s="281"/>
    </row>
    <row r="409" spans="8:8" ht="99" customHeight="1">
      <c r="H409" s="281"/>
    </row>
    <row r="410" spans="8:8" ht="99" customHeight="1">
      <c r="H410" s="281"/>
    </row>
    <row r="411" spans="8:8" ht="99" customHeight="1">
      <c r="H411" s="281"/>
    </row>
    <row r="412" spans="8:8" ht="99" customHeight="1">
      <c r="H412" s="281"/>
    </row>
    <row r="413" spans="8:8" ht="99" customHeight="1">
      <c r="H413" s="281"/>
    </row>
    <row r="414" spans="8:8" ht="99" customHeight="1">
      <c r="H414" s="281"/>
    </row>
    <row r="415" spans="8:8" ht="99" customHeight="1">
      <c r="H415" s="281"/>
    </row>
    <row r="416" spans="8:8" ht="99" customHeight="1">
      <c r="H416" s="281"/>
    </row>
    <row r="417" spans="8:8" ht="99" customHeight="1">
      <c r="H417" s="281"/>
    </row>
    <row r="418" spans="8:8" ht="99" customHeight="1">
      <c r="H418" s="281"/>
    </row>
    <row r="419" spans="8:8" ht="99" customHeight="1">
      <c r="H419" s="281"/>
    </row>
    <row r="420" spans="8:8" ht="99" customHeight="1">
      <c r="H420" s="281"/>
    </row>
    <row r="421" spans="8:8" ht="99" customHeight="1">
      <c r="H421" s="281"/>
    </row>
    <row r="422" spans="8:8" ht="99" customHeight="1">
      <c r="H422" s="281"/>
    </row>
    <row r="423" spans="8:8" ht="99" customHeight="1">
      <c r="H423" s="281"/>
    </row>
    <row r="424" spans="8:8" ht="99" customHeight="1">
      <c r="H424" s="281"/>
    </row>
    <row r="425" spans="8:8" ht="99" customHeight="1">
      <c r="H425" s="281"/>
    </row>
    <row r="426" spans="8:8" ht="99" customHeight="1">
      <c r="H426" s="281"/>
    </row>
    <row r="427" spans="8:8" ht="99" customHeight="1">
      <c r="H427" s="281"/>
    </row>
    <row r="428" spans="8:8" ht="99" customHeight="1">
      <c r="H428" s="281"/>
    </row>
    <row r="429" spans="8:8" ht="99" customHeight="1">
      <c r="H429" s="281"/>
    </row>
    <row r="430" spans="8:8" ht="99" customHeight="1">
      <c r="H430" s="281"/>
    </row>
    <row r="431" spans="8:8" ht="99" customHeight="1">
      <c r="H431" s="281"/>
    </row>
    <row r="432" spans="8:8" ht="99" customHeight="1">
      <c r="H432" s="281"/>
    </row>
    <row r="433" spans="8:8" ht="99" customHeight="1">
      <c r="H433" s="281"/>
    </row>
    <row r="434" spans="8:8" ht="99" customHeight="1">
      <c r="H434" s="281"/>
    </row>
    <row r="435" spans="8:8" ht="99" customHeight="1">
      <c r="H435" s="281"/>
    </row>
    <row r="436" spans="8:8" ht="99" customHeight="1">
      <c r="H436" s="281"/>
    </row>
    <row r="437" spans="8:8" ht="99" customHeight="1">
      <c r="H437" s="281"/>
    </row>
    <row r="438" spans="8:8" ht="99" customHeight="1">
      <c r="H438" s="281"/>
    </row>
    <row r="439" spans="8:8" ht="99" customHeight="1">
      <c r="H439" s="281"/>
    </row>
    <row r="440" spans="8:8" ht="99" customHeight="1">
      <c r="H440" s="281"/>
    </row>
    <row r="441" spans="8:8" ht="99" customHeight="1">
      <c r="H441" s="281"/>
    </row>
    <row r="442" spans="8:8" ht="99" customHeight="1">
      <c r="H442" s="281"/>
    </row>
    <row r="443" spans="8:8" ht="99" customHeight="1">
      <c r="H443" s="281"/>
    </row>
    <row r="444" spans="8:8" ht="99" customHeight="1">
      <c r="H444" s="281"/>
    </row>
    <row r="445" spans="8:8" ht="99" customHeight="1">
      <c r="H445" s="281"/>
    </row>
    <row r="446" spans="8:8" ht="99" customHeight="1">
      <c r="H446" s="281"/>
    </row>
    <row r="447" spans="8:8" ht="99" customHeight="1">
      <c r="H447" s="281"/>
    </row>
    <row r="448" spans="8:8" ht="99" customHeight="1">
      <c r="H448" s="281"/>
    </row>
    <row r="449" spans="8:8" ht="99" customHeight="1">
      <c r="H449" s="281"/>
    </row>
    <row r="450" spans="8:8" ht="99" customHeight="1">
      <c r="H450" s="281"/>
    </row>
    <row r="451" spans="8:8" ht="99" customHeight="1">
      <c r="H451" s="281"/>
    </row>
    <row r="452" spans="8:8" ht="99" customHeight="1">
      <c r="H452" s="281"/>
    </row>
    <row r="453" spans="8:8" ht="99" customHeight="1">
      <c r="H453" s="281"/>
    </row>
    <row r="454" spans="8:8" ht="99" customHeight="1">
      <c r="H454" s="281"/>
    </row>
    <row r="455" spans="8:8" ht="99" customHeight="1">
      <c r="H455" s="281"/>
    </row>
    <row r="456" spans="8:8" ht="99" customHeight="1">
      <c r="H456" s="281"/>
    </row>
    <row r="457" spans="8:8" ht="99" customHeight="1">
      <c r="H457" s="281"/>
    </row>
    <row r="458" spans="8:8" ht="99" customHeight="1">
      <c r="H458" s="281"/>
    </row>
    <row r="459" spans="8:8" ht="99" customHeight="1">
      <c r="H459" s="281"/>
    </row>
    <row r="460" spans="8:8" ht="99" customHeight="1">
      <c r="H460" s="281"/>
    </row>
    <row r="461" spans="8:8" ht="99" customHeight="1">
      <c r="H461" s="281"/>
    </row>
    <row r="462" spans="8:8" ht="99" customHeight="1">
      <c r="H462" s="281"/>
    </row>
    <row r="463" spans="8:8" ht="99" customHeight="1">
      <c r="H463" s="281"/>
    </row>
    <row r="464" spans="8:8" ht="99" customHeight="1">
      <c r="H464" s="281"/>
    </row>
    <row r="465" spans="8:8" ht="99" customHeight="1">
      <c r="H465" s="281"/>
    </row>
    <row r="466" spans="8:8" ht="99" customHeight="1">
      <c r="H466" s="281"/>
    </row>
    <row r="467" spans="8:8" ht="99" customHeight="1">
      <c r="H467" s="281"/>
    </row>
    <row r="468" spans="8:8" ht="99" customHeight="1">
      <c r="H468" s="281"/>
    </row>
    <row r="469" spans="8:8" ht="99" customHeight="1">
      <c r="H469" s="281"/>
    </row>
    <row r="470" spans="8:8" ht="99" customHeight="1">
      <c r="H470" s="281"/>
    </row>
    <row r="471" spans="8:8" ht="99" customHeight="1">
      <c r="H471" s="281"/>
    </row>
    <row r="472" spans="8:8" ht="99" customHeight="1">
      <c r="H472" s="281"/>
    </row>
    <row r="473" spans="8:8" ht="99" customHeight="1">
      <c r="H473" s="281"/>
    </row>
    <row r="474" spans="8:8" ht="99" customHeight="1">
      <c r="H474" s="281"/>
    </row>
    <row r="475" spans="8:8" ht="99" customHeight="1">
      <c r="H475" s="281"/>
    </row>
    <row r="476" spans="8:8" ht="99" customHeight="1">
      <c r="H476" s="281"/>
    </row>
    <row r="477" spans="8:8" ht="99" customHeight="1">
      <c r="H477" s="281"/>
    </row>
    <row r="478" spans="8:8" ht="99" customHeight="1">
      <c r="H478" s="281"/>
    </row>
    <row r="479" spans="8:8" ht="99" customHeight="1">
      <c r="H479" s="281"/>
    </row>
    <row r="480" spans="8:8" ht="99" customHeight="1">
      <c r="H480" s="281"/>
    </row>
    <row r="481" spans="8:8" ht="99" customHeight="1">
      <c r="H481" s="281"/>
    </row>
    <row r="482" spans="8:8" ht="99" customHeight="1">
      <c r="H482" s="281"/>
    </row>
    <row r="483" spans="8:8" ht="99" customHeight="1">
      <c r="H483" s="281"/>
    </row>
    <row r="484" spans="8:8" ht="99" customHeight="1">
      <c r="H484" s="281"/>
    </row>
    <row r="485" spans="8:8" ht="99" customHeight="1">
      <c r="H485" s="281"/>
    </row>
    <row r="486" spans="8:8" ht="99" customHeight="1">
      <c r="H486" s="281"/>
    </row>
    <row r="487" spans="8:8" ht="99" customHeight="1">
      <c r="H487" s="281"/>
    </row>
    <row r="488" spans="8:8" ht="99" customHeight="1">
      <c r="H488" s="281"/>
    </row>
    <row r="489" spans="8:8" ht="99" customHeight="1">
      <c r="H489" s="281"/>
    </row>
    <row r="490" spans="8:8" ht="99" customHeight="1">
      <c r="H490" s="281"/>
    </row>
    <row r="491" spans="8:8" ht="99" customHeight="1">
      <c r="H491" s="281"/>
    </row>
    <row r="492" spans="8:8" ht="99" customHeight="1">
      <c r="H492" s="281"/>
    </row>
    <row r="493" spans="8:8" ht="99" customHeight="1">
      <c r="H493" s="281"/>
    </row>
    <row r="494" spans="8:8" ht="99" customHeight="1">
      <c r="H494" s="281"/>
    </row>
    <row r="495" spans="8:8" ht="99" customHeight="1">
      <c r="H495" s="281"/>
    </row>
    <row r="496" spans="8:8" ht="99" customHeight="1">
      <c r="H496" s="281"/>
    </row>
    <row r="497" spans="8:8" ht="99" customHeight="1">
      <c r="H497" s="281"/>
    </row>
    <row r="498" spans="8:8" ht="99" customHeight="1">
      <c r="H498" s="281"/>
    </row>
    <row r="499" spans="8:8" ht="99" customHeight="1">
      <c r="H499" s="281"/>
    </row>
    <row r="500" spans="8:8" ht="99" customHeight="1">
      <c r="H500" s="281"/>
    </row>
    <row r="501" spans="8:8" ht="99" customHeight="1">
      <c r="H501" s="281"/>
    </row>
    <row r="502" spans="8:8" ht="99" customHeight="1">
      <c r="H502" s="281"/>
    </row>
    <row r="503" spans="8:8" ht="99" customHeight="1">
      <c r="H503" s="281"/>
    </row>
    <row r="504" spans="8:8" ht="99" customHeight="1">
      <c r="H504" s="281"/>
    </row>
    <row r="505" spans="8:8" ht="99" customHeight="1">
      <c r="H505" s="281"/>
    </row>
    <row r="506" spans="8:8" ht="99" customHeight="1">
      <c r="H506" s="281"/>
    </row>
    <row r="507" spans="8:8" ht="99" customHeight="1">
      <c r="H507" s="281"/>
    </row>
    <row r="508" spans="8:8" ht="99" customHeight="1">
      <c r="H508" s="281"/>
    </row>
    <row r="509" spans="8:8" ht="99" customHeight="1">
      <c r="H509" s="281"/>
    </row>
    <row r="510" spans="8:8" ht="99" customHeight="1">
      <c r="H510" s="281"/>
    </row>
    <row r="511" spans="8:8" ht="99" customHeight="1">
      <c r="H511" s="281"/>
    </row>
    <row r="512" spans="8:8" ht="99" customHeight="1">
      <c r="H512" s="281"/>
    </row>
    <row r="513" spans="8:8" ht="99" customHeight="1">
      <c r="H513" s="281"/>
    </row>
    <row r="514" spans="8:8" ht="99" customHeight="1">
      <c r="H514" s="281"/>
    </row>
    <row r="515" spans="8:8" ht="99" customHeight="1">
      <c r="H515" s="281"/>
    </row>
    <row r="516" spans="8:8" ht="99" customHeight="1">
      <c r="H516" s="281"/>
    </row>
    <row r="517" spans="8:8" ht="99" customHeight="1">
      <c r="H517" s="281"/>
    </row>
    <row r="518" spans="8:8" ht="99" customHeight="1">
      <c r="H518" s="281"/>
    </row>
    <row r="519" spans="8:8" ht="99" customHeight="1">
      <c r="H519" s="281"/>
    </row>
    <row r="520" spans="8:8" ht="99" customHeight="1">
      <c r="H520" s="281"/>
    </row>
    <row r="521" spans="8:8" ht="99" customHeight="1">
      <c r="H521" s="281"/>
    </row>
    <row r="522" spans="8:8" ht="99" customHeight="1">
      <c r="H522" s="281"/>
    </row>
    <row r="523" spans="8:8" ht="99" customHeight="1">
      <c r="H523" s="281"/>
    </row>
    <row r="524" spans="8:8" ht="99" customHeight="1">
      <c r="H524" s="281"/>
    </row>
    <row r="525" spans="8:8" ht="99" customHeight="1">
      <c r="H525" s="281"/>
    </row>
    <row r="526" spans="8:8" ht="99" customHeight="1">
      <c r="H526" s="281"/>
    </row>
    <row r="527" spans="8:8" ht="99" customHeight="1">
      <c r="H527" s="281"/>
    </row>
    <row r="528" spans="8:8" ht="99" customHeight="1">
      <c r="H528" s="281"/>
    </row>
    <row r="529" spans="8:8" ht="99" customHeight="1">
      <c r="H529" s="281"/>
    </row>
    <row r="530" spans="8:8" ht="99" customHeight="1">
      <c r="H530" s="281"/>
    </row>
    <row r="531" spans="8:8" ht="99" customHeight="1">
      <c r="H531" s="281"/>
    </row>
    <row r="532" spans="8:8" ht="99" customHeight="1">
      <c r="H532" s="281"/>
    </row>
    <row r="533" spans="8:8" ht="99" customHeight="1">
      <c r="H533" s="281"/>
    </row>
    <row r="534" spans="8:8" ht="99" customHeight="1">
      <c r="H534" s="281"/>
    </row>
    <row r="535" spans="8:8" ht="99" customHeight="1">
      <c r="H535" s="281"/>
    </row>
    <row r="536" spans="8:8" ht="99" customHeight="1">
      <c r="H536" s="281"/>
    </row>
    <row r="537" spans="8:8" ht="99" customHeight="1">
      <c r="H537" s="281"/>
    </row>
    <row r="538" spans="8:8" ht="99" customHeight="1">
      <c r="H538" s="281"/>
    </row>
    <row r="539" spans="8:8" ht="99" customHeight="1">
      <c r="H539" s="281"/>
    </row>
    <row r="540" spans="8:8" ht="99" customHeight="1">
      <c r="H540" s="281"/>
    </row>
    <row r="541" spans="8:8" ht="99" customHeight="1">
      <c r="H541" s="281"/>
    </row>
    <row r="542" spans="8:8" ht="99" customHeight="1">
      <c r="H542" s="281"/>
    </row>
    <row r="543" spans="8:8" ht="99" customHeight="1">
      <c r="H543" s="281"/>
    </row>
    <row r="544" spans="8:8" ht="99" customHeight="1">
      <c r="H544" s="281"/>
    </row>
    <row r="545" spans="8:8" ht="99" customHeight="1">
      <c r="H545" s="281"/>
    </row>
    <row r="546" spans="8:8" ht="99" customHeight="1">
      <c r="H546" s="281"/>
    </row>
    <row r="547" spans="8:8" ht="99" customHeight="1">
      <c r="H547" s="281"/>
    </row>
    <row r="548" spans="8:8" ht="99" customHeight="1">
      <c r="H548" s="281"/>
    </row>
    <row r="549" spans="8:8" ht="99" customHeight="1">
      <c r="H549" s="281"/>
    </row>
    <row r="550" spans="8:8" ht="99" customHeight="1">
      <c r="H550" s="281"/>
    </row>
    <row r="551" spans="8:8" ht="99" customHeight="1">
      <c r="H551" s="281"/>
    </row>
    <row r="552" spans="8:8" ht="99" customHeight="1">
      <c r="H552" s="281"/>
    </row>
    <row r="553" spans="8:8" ht="99" customHeight="1">
      <c r="H553" s="281"/>
    </row>
    <row r="554" spans="8:8" ht="99" customHeight="1">
      <c r="H554" s="281"/>
    </row>
    <row r="555" spans="8:8" ht="99" customHeight="1">
      <c r="H555" s="281"/>
    </row>
    <row r="556" spans="8:8" ht="99" customHeight="1">
      <c r="H556" s="281"/>
    </row>
    <row r="557" spans="8:8" ht="99" customHeight="1">
      <c r="H557" s="281"/>
    </row>
    <row r="558" spans="8:8" ht="99" customHeight="1">
      <c r="H558" s="281"/>
    </row>
    <row r="559" spans="8:8" ht="99" customHeight="1">
      <c r="H559" s="281"/>
    </row>
    <row r="560" spans="8:8" ht="99" customHeight="1">
      <c r="H560" s="281"/>
    </row>
    <row r="561" spans="8:8" ht="99" customHeight="1">
      <c r="H561" s="281"/>
    </row>
    <row r="562" spans="8:8" ht="99" customHeight="1">
      <c r="H562" s="281"/>
    </row>
    <row r="563" spans="8:8" ht="99" customHeight="1">
      <c r="H563" s="281"/>
    </row>
    <row r="564" spans="8:8" ht="99" customHeight="1">
      <c r="H564" s="281"/>
    </row>
    <row r="565" spans="8:8" ht="99" customHeight="1">
      <c r="H565" s="281"/>
    </row>
    <row r="566" spans="8:8" ht="99" customHeight="1">
      <c r="H566" s="281"/>
    </row>
    <row r="567" spans="8:8" ht="99" customHeight="1">
      <c r="H567" s="281"/>
    </row>
    <row r="568" spans="8:8" ht="99" customHeight="1">
      <c r="H568" s="281"/>
    </row>
    <row r="569" spans="8:8" ht="99" customHeight="1">
      <c r="H569" s="281"/>
    </row>
    <row r="570" spans="8:8" ht="99" customHeight="1">
      <c r="H570" s="281"/>
    </row>
    <row r="571" spans="8:8" ht="99" customHeight="1">
      <c r="H571" s="281"/>
    </row>
    <row r="572" spans="8:8" ht="99" customHeight="1">
      <c r="H572" s="281"/>
    </row>
    <row r="573" spans="8:8" ht="99" customHeight="1">
      <c r="H573" s="281"/>
    </row>
    <row r="574" spans="8:8" ht="99" customHeight="1">
      <c r="H574" s="281"/>
    </row>
    <row r="575" spans="8:8" ht="99" customHeight="1">
      <c r="H575" s="281"/>
    </row>
    <row r="576" spans="8:8" ht="99" customHeight="1">
      <c r="H576" s="281"/>
    </row>
    <row r="577" spans="8:8" ht="99" customHeight="1">
      <c r="H577" s="281"/>
    </row>
    <row r="578" spans="8:8" ht="99" customHeight="1">
      <c r="H578" s="281"/>
    </row>
    <row r="579" spans="8:8" ht="99" customHeight="1">
      <c r="H579" s="281"/>
    </row>
    <row r="580" spans="8:8" ht="99" customHeight="1">
      <c r="H580" s="281"/>
    </row>
    <row r="581" spans="8:8" ht="99" customHeight="1">
      <c r="H581" s="281"/>
    </row>
    <row r="582" spans="8:8" ht="99" customHeight="1">
      <c r="H582" s="281"/>
    </row>
    <row r="583" spans="8:8" ht="99" customHeight="1">
      <c r="H583" s="281"/>
    </row>
    <row r="584" spans="8:8" ht="99" customHeight="1">
      <c r="H584" s="281"/>
    </row>
    <row r="585" spans="8:8" ht="99" customHeight="1">
      <c r="H585" s="281"/>
    </row>
    <row r="586" spans="8:8" ht="99" customHeight="1">
      <c r="H586" s="281"/>
    </row>
    <row r="587" spans="8:8" ht="99" customHeight="1">
      <c r="H587" s="281"/>
    </row>
    <row r="588" spans="8:8" ht="99" customHeight="1">
      <c r="H588" s="281"/>
    </row>
    <row r="589" spans="8:8" ht="99" customHeight="1">
      <c r="H589" s="281"/>
    </row>
    <row r="590" spans="8:8" ht="99" customHeight="1">
      <c r="H590" s="281"/>
    </row>
    <row r="591" spans="8:8" ht="99" customHeight="1">
      <c r="H591" s="281"/>
    </row>
    <row r="592" spans="8:8" ht="99" customHeight="1">
      <c r="H592" s="281"/>
    </row>
    <row r="593" spans="8:8" ht="99" customHeight="1">
      <c r="H593" s="281"/>
    </row>
    <row r="594" spans="8:8" ht="99" customHeight="1">
      <c r="H594" s="281"/>
    </row>
    <row r="595" spans="8:8" ht="99" customHeight="1">
      <c r="H595" s="281"/>
    </row>
    <row r="596" spans="8:8" ht="99" customHeight="1">
      <c r="H596" s="281"/>
    </row>
    <row r="597" spans="8:8" ht="99" customHeight="1">
      <c r="H597" s="281"/>
    </row>
    <row r="598" spans="8:8" ht="99" customHeight="1">
      <c r="H598" s="281"/>
    </row>
    <row r="599" spans="8:8" ht="99" customHeight="1">
      <c r="H599" s="281"/>
    </row>
    <row r="600" spans="8:8" ht="99" customHeight="1">
      <c r="H600" s="281"/>
    </row>
    <row r="601" spans="8:8" ht="99" customHeight="1">
      <c r="H601" s="281"/>
    </row>
    <row r="602" spans="8:8" ht="99" customHeight="1">
      <c r="H602" s="281"/>
    </row>
    <row r="603" spans="8:8" ht="99" customHeight="1">
      <c r="H603" s="281"/>
    </row>
    <row r="604" spans="8:8" ht="99" customHeight="1">
      <c r="H604" s="281"/>
    </row>
    <row r="605" spans="8:8" ht="99" customHeight="1">
      <c r="H605" s="281"/>
    </row>
    <row r="606" spans="8:8" ht="99" customHeight="1">
      <c r="H606" s="281"/>
    </row>
    <row r="607" spans="8:8" ht="99" customHeight="1">
      <c r="H607" s="281"/>
    </row>
    <row r="608" spans="8:8" ht="99" customHeight="1">
      <c r="H608" s="281"/>
    </row>
    <row r="609" spans="8:8" ht="99" customHeight="1">
      <c r="H609" s="281"/>
    </row>
    <row r="610" spans="8:8" ht="99" customHeight="1">
      <c r="H610" s="281"/>
    </row>
    <row r="611" spans="8:8" ht="99" customHeight="1">
      <c r="H611" s="281"/>
    </row>
    <row r="612" spans="8:8" ht="99" customHeight="1">
      <c r="H612" s="281"/>
    </row>
    <row r="613" spans="8:8" ht="99" customHeight="1">
      <c r="H613" s="281"/>
    </row>
    <row r="614" spans="8:8" ht="99" customHeight="1">
      <c r="H614" s="281"/>
    </row>
    <row r="615" spans="8:8" ht="99" customHeight="1">
      <c r="H615" s="281"/>
    </row>
    <row r="616" spans="8:8" ht="99" customHeight="1">
      <c r="H616" s="281"/>
    </row>
    <row r="617" spans="8:8" ht="99" customHeight="1">
      <c r="H617" s="281"/>
    </row>
    <row r="618" spans="8:8" ht="99" customHeight="1">
      <c r="H618" s="281"/>
    </row>
    <row r="619" spans="8:8" ht="99" customHeight="1">
      <c r="H619" s="281"/>
    </row>
    <row r="620" spans="8:8" ht="99" customHeight="1">
      <c r="H620" s="281"/>
    </row>
    <row r="621" spans="8:8" ht="99" customHeight="1">
      <c r="H621" s="281"/>
    </row>
    <row r="622" spans="8:8" ht="99" customHeight="1">
      <c r="H622" s="281"/>
    </row>
    <row r="623" spans="8:8" ht="99" customHeight="1">
      <c r="H623" s="281"/>
    </row>
    <row r="624" spans="8:8" ht="99" customHeight="1">
      <c r="H624" s="281"/>
    </row>
    <row r="625" spans="8:8" ht="99" customHeight="1">
      <c r="H625" s="281"/>
    </row>
    <row r="626" spans="8:8" ht="99" customHeight="1">
      <c r="H626" s="281"/>
    </row>
    <row r="627" spans="8:8" ht="99" customHeight="1">
      <c r="H627" s="281"/>
    </row>
    <row r="628" spans="8:8" ht="99" customHeight="1">
      <c r="H628" s="281"/>
    </row>
    <row r="629" spans="8:8" ht="99" customHeight="1">
      <c r="H629" s="281"/>
    </row>
    <row r="630" spans="8:8" ht="99" customHeight="1">
      <c r="H630" s="281"/>
    </row>
    <row r="631" spans="8:8" ht="99" customHeight="1">
      <c r="H631" s="281"/>
    </row>
    <row r="632" spans="8:8" ht="99" customHeight="1">
      <c r="H632" s="281"/>
    </row>
    <row r="633" spans="8:8" ht="99" customHeight="1">
      <c r="H633" s="281"/>
    </row>
    <row r="634" spans="8:8" ht="99" customHeight="1">
      <c r="H634" s="281"/>
    </row>
    <row r="635" spans="8:8" ht="99" customHeight="1">
      <c r="H635" s="281"/>
    </row>
    <row r="636" spans="8:8" ht="99" customHeight="1">
      <c r="H636" s="281"/>
    </row>
    <row r="637" spans="8:8" ht="99" customHeight="1">
      <c r="H637" s="281"/>
    </row>
    <row r="638" spans="8:8" ht="99" customHeight="1">
      <c r="H638" s="281"/>
    </row>
    <row r="639" spans="8:8" ht="99" customHeight="1">
      <c r="H639" s="281"/>
    </row>
    <row r="640" spans="8:8" ht="99" customHeight="1">
      <c r="H640" s="281"/>
    </row>
    <row r="641" spans="8:8" ht="99" customHeight="1">
      <c r="H641" s="281"/>
    </row>
    <row r="642" spans="8:8" ht="99" customHeight="1">
      <c r="H642" s="281"/>
    </row>
    <row r="643" spans="8:8" ht="99" customHeight="1">
      <c r="H643" s="281"/>
    </row>
    <row r="644" spans="8:8" ht="99" customHeight="1">
      <c r="H644" s="281"/>
    </row>
    <row r="645" spans="8:8" ht="99" customHeight="1">
      <c r="H645" s="281"/>
    </row>
    <row r="646" spans="8:8" ht="99" customHeight="1">
      <c r="H646" s="281"/>
    </row>
    <row r="647" spans="8:8" ht="99" customHeight="1">
      <c r="H647" s="281"/>
    </row>
    <row r="648" spans="8:8" ht="99" customHeight="1">
      <c r="H648" s="281"/>
    </row>
    <row r="649" spans="8:8" ht="99" customHeight="1">
      <c r="H649" s="281"/>
    </row>
    <row r="650" spans="8:8" ht="99" customHeight="1">
      <c r="H650" s="281"/>
    </row>
    <row r="651" spans="8:8" ht="99" customHeight="1">
      <c r="H651" s="281"/>
    </row>
    <row r="652" spans="8:8" ht="99" customHeight="1">
      <c r="H652" s="281"/>
    </row>
    <row r="653" spans="8:8" ht="99" customHeight="1">
      <c r="H653" s="281"/>
    </row>
    <row r="654" spans="8:8" ht="99" customHeight="1">
      <c r="H654" s="281"/>
    </row>
    <row r="655" spans="8:8" ht="99" customHeight="1">
      <c r="H655" s="281"/>
    </row>
    <row r="656" spans="8:8" ht="99" customHeight="1">
      <c r="H656" s="281"/>
    </row>
    <row r="657" spans="8:8" ht="99" customHeight="1">
      <c r="H657" s="281"/>
    </row>
    <row r="658" spans="8:8" ht="99" customHeight="1">
      <c r="H658" s="281"/>
    </row>
    <row r="659" spans="8:8" ht="99" customHeight="1">
      <c r="H659" s="281"/>
    </row>
    <row r="660" spans="8:8" ht="99" customHeight="1">
      <c r="H660" s="281"/>
    </row>
    <row r="661" spans="8:8" ht="99" customHeight="1">
      <c r="H661" s="281"/>
    </row>
    <row r="662" spans="8:8" ht="99" customHeight="1">
      <c r="H662" s="281"/>
    </row>
    <row r="663" spans="8:8" ht="99" customHeight="1">
      <c r="H663" s="281"/>
    </row>
    <row r="664" spans="8:8" ht="99" customHeight="1">
      <c r="H664" s="281"/>
    </row>
    <row r="665" spans="8:8" ht="99" customHeight="1">
      <c r="H665" s="281"/>
    </row>
    <row r="666" spans="8:8" ht="99" customHeight="1">
      <c r="H666" s="281"/>
    </row>
    <row r="667" spans="8:8" ht="99" customHeight="1">
      <c r="H667" s="281"/>
    </row>
    <row r="668" spans="8:8" ht="99" customHeight="1">
      <c r="H668" s="281"/>
    </row>
    <row r="669" spans="8:8" ht="99" customHeight="1">
      <c r="H669" s="281"/>
    </row>
    <row r="670" spans="8:8" ht="99" customHeight="1">
      <c r="H670" s="281"/>
    </row>
    <row r="671" spans="8:8" ht="99" customHeight="1">
      <c r="H671" s="281"/>
    </row>
    <row r="672" spans="8:8" ht="99" customHeight="1">
      <c r="H672" s="281"/>
    </row>
    <row r="673" spans="8:8" ht="99" customHeight="1">
      <c r="H673" s="281"/>
    </row>
    <row r="674" spans="8:8" ht="99" customHeight="1">
      <c r="H674" s="281"/>
    </row>
    <row r="675" spans="8:8" ht="99" customHeight="1">
      <c r="H675" s="281"/>
    </row>
    <row r="676" spans="8:8" ht="99" customHeight="1">
      <c r="H676" s="281"/>
    </row>
    <row r="677" spans="8:8" ht="99" customHeight="1">
      <c r="H677" s="281"/>
    </row>
    <row r="678" spans="8:8" ht="99" customHeight="1">
      <c r="H678" s="281"/>
    </row>
    <row r="679" spans="8:8" ht="99" customHeight="1">
      <c r="H679" s="281"/>
    </row>
    <row r="680" spans="8:8" ht="99" customHeight="1">
      <c r="H680" s="281"/>
    </row>
    <row r="681" spans="8:8" ht="99" customHeight="1">
      <c r="H681" s="281"/>
    </row>
    <row r="682" spans="8:8" ht="99" customHeight="1">
      <c r="H682" s="281"/>
    </row>
    <row r="683" spans="8:8" ht="99" customHeight="1">
      <c r="H683" s="281"/>
    </row>
    <row r="684" spans="8:8" ht="99" customHeight="1">
      <c r="H684" s="281"/>
    </row>
    <row r="685" spans="8:8" ht="99" customHeight="1">
      <c r="H685" s="281"/>
    </row>
    <row r="686" spans="8:8" ht="99" customHeight="1">
      <c r="H686" s="281"/>
    </row>
    <row r="687" spans="8:8" ht="99" customHeight="1">
      <c r="H687" s="281"/>
    </row>
    <row r="688" spans="8:8" ht="99" customHeight="1">
      <c r="H688" s="281"/>
    </row>
    <row r="689" spans="8:8" ht="99" customHeight="1">
      <c r="H689" s="281"/>
    </row>
    <row r="690" spans="8:8" ht="99" customHeight="1">
      <c r="H690" s="281"/>
    </row>
    <row r="691" spans="8:8" ht="99" customHeight="1">
      <c r="H691" s="281"/>
    </row>
    <row r="692" spans="8:8" ht="99" customHeight="1">
      <c r="H692" s="281"/>
    </row>
    <row r="693" spans="8:8" ht="99" customHeight="1">
      <c r="H693" s="281"/>
    </row>
    <row r="694" spans="8:8" ht="99" customHeight="1">
      <c r="H694" s="281"/>
    </row>
    <row r="695" spans="8:8" ht="99" customHeight="1">
      <c r="H695" s="281"/>
    </row>
    <row r="696" spans="8:8" ht="99" customHeight="1">
      <c r="H696" s="281"/>
    </row>
    <row r="697" spans="8:8" ht="99" customHeight="1">
      <c r="H697" s="281"/>
    </row>
    <row r="698" spans="8:8" ht="99" customHeight="1">
      <c r="H698" s="281"/>
    </row>
    <row r="699" spans="8:8" ht="99" customHeight="1">
      <c r="H699" s="281"/>
    </row>
    <row r="700" spans="8:8" ht="99" customHeight="1">
      <c r="H700" s="281"/>
    </row>
    <row r="701" spans="8:8" ht="99" customHeight="1">
      <c r="H701" s="281"/>
    </row>
    <row r="702" spans="8:8" ht="99" customHeight="1">
      <c r="H702" s="281"/>
    </row>
    <row r="703" spans="8:8" ht="99" customHeight="1">
      <c r="H703" s="281"/>
    </row>
    <row r="704" spans="8:8" ht="99" customHeight="1">
      <c r="H704" s="281"/>
    </row>
    <row r="705" spans="8:8" ht="99" customHeight="1">
      <c r="H705" s="281"/>
    </row>
    <row r="706" spans="8:8" ht="99" customHeight="1">
      <c r="H706" s="281"/>
    </row>
    <row r="707" spans="8:8" ht="99" customHeight="1">
      <c r="H707" s="281"/>
    </row>
    <row r="708" spans="8:8" ht="99" customHeight="1">
      <c r="H708" s="281"/>
    </row>
    <row r="709" spans="8:8" ht="99" customHeight="1">
      <c r="H709" s="281"/>
    </row>
    <row r="710" spans="8:8" ht="99" customHeight="1">
      <c r="H710" s="281"/>
    </row>
    <row r="711" spans="8:8" ht="99" customHeight="1">
      <c r="H711" s="281"/>
    </row>
    <row r="712" spans="8:8" ht="99" customHeight="1">
      <c r="H712" s="281"/>
    </row>
    <row r="713" spans="8:8" ht="99" customHeight="1">
      <c r="H713" s="281"/>
    </row>
    <row r="714" spans="8:8" ht="99" customHeight="1">
      <c r="H714" s="281"/>
    </row>
    <row r="715" spans="8:8" ht="99" customHeight="1">
      <c r="H715" s="281"/>
    </row>
    <row r="716" spans="8:8" ht="99" customHeight="1">
      <c r="H716" s="281"/>
    </row>
    <row r="717" spans="8:8" ht="99" customHeight="1">
      <c r="H717" s="281"/>
    </row>
    <row r="718" spans="8:8" ht="99" customHeight="1">
      <c r="H718" s="281"/>
    </row>
    <row r="719" spans="8:8" ht="99" customHeight="1">
      <c r="H719" s="281"/>
    </row>
    <row r="720" spans="8:8" ht="99" customHeight="1">
      <c r="H720" s="281"/>
    </row>
    <row r="721" spans="8:8" ht="99" customHeight="1">
      <c r="H721" s="281"/>
    </row>
    <row r="722" spans="8:8" ht="99" customHeight="1">
      <c r="H722" s="281"/>
    </row>
    <row r="723" spans="8:8" ht="99" customHeight="1">
      <c r="H723" s="281"/>
    </row>
    <row r="724" spans="8:8" ht="99" customHeight="1">
      <c r="H724" s="281"/>
    </row>
    <row r="725" spans="8:8" ht="99" customHeight="1">
      <c r="H725" s="281"/>
    </row>
    <row r="726" spans="8:8" ht="99" customHeight="1">
      <c r="H726" s="281"/>
    </row>
    <row r="727" spans="8:8" ht="99" customHeight="1">
      <c r="H727" s="281"/>
    </row>
    <row r="728" spans="8:8" ht="99" customHeight="1">
      <c r="H728" s="281"/>
    </row>
    <row r="729" spans="8:8" ht="99" customHeight="1">
      <c r="H729" s="281"/>
    </row>
    <row r="730" spans="8:8" ht="99" customHeight="1">
      <c r="H730" s="281"/>
    </row>
    <row r="731" spans="8:8" ht="99" customHeight="1">
      <c r="H731" s="281"/>
    </row>
    <row r="732" spans="8:8" ht="99" customHeight="1">
      <c r="H732" s="281"/>
    </row>
    <row r="733" spans="8:8" ht="99" customHeight="1">
      <c r="H733" s="281"/>
    </row>
    <row r="734" spans="8:8" ht="99" customHeight="1">
      <c r="H734" s="281"/>
    </row>
    <row r="735" spans="8:8" ht="99" customHeight="1">
      <c r="H735" s="281"/>
    </row>
    <row r="736" spans="8:8" ht="99" customHeight="1">
      <c r="H736" s="281"/>
    </row>
    <row r="737" spans="8:8" ht="99" customHeight="1">
      <c r="H737" s="281"/>
    </row>
    <row r="738" spans="8:8" ht="99" customHeight="1">
      <c r="H738" s="281"/>
    </row>
    <row r="739" spans="8:8" ht="99" customHeight="1">
      <c r="H739" s="281"/>
    </row>
    <row r="740" spans="8:8" ht="99" customHeight="1">
      <c r="H740" s="281"/>
    </row>
    <row r="741" spans="8:8" ht="99" customHeight="1">
      <c r="H741" s="281"/>
    </row>
    <row r="742" spans="8:8" ht="99" customHeight="1">
      <c r="H742" s="281"/>
    </row>
    <row r="743" spans="8:8" ht="99" customHeight="1">
      <c r="H743" s="281"/>
    </row>
    <row r="744" spans="8:8" ht="99" customHeight="1">
      <c r="H744" s="281"/>
    </row>
    <row r="745" spans="8:8" ht="99" customHeight="1">
      <c r="H745" s="281"/>
    </row>
    <row r="746" spans="8:8" ht="99" customHeight="1">
      <c r="H746" s="281"/>
    </row>
    <row r="747" spans="8:8" ht="99" customHeight="1">
      <c r="H747" s="281"/>
    </row>
    <row r="748" spans="8:8" ht="99" customHeight="1">
      <c r="H748" s="281"/>
    </row>
    <row r="749" spans="8:8" ht="99" customHeight="1">
      <c r="H749" s="281"/>
    </row>
    <row r="750" spans="8:8" ht="99" customHeight="1">
      <c r="H750" s="281"/>
    </row>
    <row r="751" spans="8:8" ht="99" customHeight="1">
      <c r="H751" s="281"/>
    </row>
    <row r="752" spans="8:8" ht="99" customHeight="1">
      <c r="H752" s="281"/>
    </row>
    <row r="753" spans="8:8" ht="99" customHeight="1">
      <c r="H753" s="281"/>
    </row>
    <row r="754" spans="8:8" ht="99" customHeight="1">
      <c r="H754" s="281"/>
    </row>
    <row r="755" spans="8:8" ht="99" customHeight="1">
      <c r="H755" s="281"/>
    </row>
    <row r="756" spans="8:8" ht="99" customHeight="1">
      <c r="H756" s="281"/>
    </row>
    <row r="757" spans="8:8" ht="99" customHeight="1">
      <c r="H757" s="281"/>
    </row>
    <row r="758" spans="8:8" ht="99" customHeight="1">
      <c r="H758" s="281"/>
    </row>
    <row r="759" spans="8:8" ht="99" customHeight="1">
      <c r="H759" s="281"/>
    </row>
    <row r="760" spans="8:8" ht="99" customHeight="1">
      <c r="H760" s="281"/>
    </row>
    <row r="761" spans="8:8" ht="99" customHeight="1">
      <c r="H761" s="281"/>
    </row>
    <row r="762" spans="8:8" ht="99" customHeight="1">
      <c r="H762" s="281"/>
    </row>
    <row r="763" spans="8:8" ht="99" customHeight="1">
      <c r="H763" s="281"/>
    </row>
    <row r="764" spans="8:8" ht="99" customHeight="1">
      <c r="H764" s="281"/>
    </row>
    <row r="765" spans="8:8" ht="99" customHeight="1">
      <c r="H765" s="281"/>
    </row>
    <row r="766" spans="8:8" ht="99" customHeight="1">
      <c r="H766" s="281"/>
    </row>
    <row r="767" spans="8:8" ht="99" customHeight="1">
      <c r="H767" s="281"/>
    </row>
    <row r="768" spans="8:8" ht="99" customHeight="1">
      <c r="H768" s="281"/>
    </row>
    <row r="769" spans="8:8" ht="99" customHeight="1">
      <c r="H769" s="281"/>
    </row>
    <row r="770" spans="8:8" ht="99" customHeight="1">
      <c r="H770" s="281"/>
    </row>
    <row r="771" spans="8:8" ht="99" customHeight="1">
      <c r="H771" s="281"/>
    </row>
    <row r="772" spans="8:8" ht="99" customHeight="1">
      <c r="H772" s="281"/>
    </row>
    <row r="773" spans="8:8" ht="99" customHeight="1">
      <c r="H773" s="281"/>
    </row>
    <row r="774" spans="8:8" ht="99" customHeight="1">
      <c r="H774" s="281"/>
    </row>
    <row r="775" spans="8:8" ht="99" customHeight="1">
      <c r="H775" s="281"/>
    </row>
    <row r="776" spans="8:8" ht="99" customHeight="1">
      <c r="H776" s="281"/>
    </row>
    <row r="777" spans="8:8" ht="99" customHeight="1">
      <c r="H777" s="281"/>
    </row>
    <row r="778" spans="8:8" ht="99" customHeight="1">
      <c r="H778" s="281"/>
    </row>
    <row r="779" spans="8:8" ht="99" customHeight="1">
      <c r="H779" s="281"/>
    </row>
    <row r="780" spans="8:8" ht="99" customHeight="1">
      <c r="H780" s="281"/>
    </row>
    <row r="781" spans="8:8" ht="99" customHeight="1">
      <c r="H781" s="281"/>
    </row>
    <row r="782" spans="8:8" ht="99" customHeight="1">
      <c r="H782" s="281"/>
    </row>
    <row r="783" spans="8:8" ht="99" customHeight="1">
      <c r="H783" s="281"/>
    </row>
    <row r="784" spans="8:8" ht="99" customHeight="1">
      <c r="H784" s="281"/>
    </row>
    <row r="785" spans="8:8" ht="99" customHeight="1">
      <c r="H785" s="281"/>
    </row>
    <row r="786" spans="8:8" ht="99" customHeight="1">
      <c r="H786" s="281"/>
    </row>
    <row r="787" spans="8:8" ht="99" customHeight="1">
      <c r="H787" s="281"/>
    </row>
    <row r="788" spans="8:8" ht="99" customHeight="1">
      <c r="H788" s="281"/>
    </row>
    <row r="789" spans="8:8" ht="99" customHeight="1">
      <c r="H789" s="281"/>
    </row>
    <row r="790" spans="8:8" ht="99" customHeight="1">
      <c r="H790" s="281"/>
    </row>
    <row r="791" spans="8:8" ht="99" customHeight="1">
      <c r="H791" s="281"/>
    </row>
    <row r="792" spans="8:8" ht="99" customHeight="1">
      <c r="H792" s="281"/>
    </row>
    <row r="793" spans="8:8" ht="99" customHeight="1">
      <c r="H793" s="281"/>
    </row>
    <row r="794" spans="8:8" ht="99" customHeight="1">
      <c r="H794" s="281"/>
    </row>
    <row r="795" spans="8:8" ht="99" customHeight="1">
      <c r="H795" s="281"/>
    </row>
    <row r="796" spans="8:8" ht="99" customHeight="1">
      <c r="H796" s="281"/>
    </row>
    <row r="797" spans="8:8" ht="99" customHeight="1">
      <c r="H797" s="281"/>
    </row>
    <row r="798" spans="8:8" ht="99" customHeight="1">
      <c r="H798" s="281"/>
    </row>
    <row r="799" spans="8:8" ht="99" customHeight="1">
      <c r="H799" s="281"/>
    </row>
    <row r="800" spans="8:8" ht="99" customHeight="1">
      <c r="H800" s="281"/>
    </row>
    <row r="801" spans="8:8" ht="99" customHeight="1">
      <c r="H801" s="281"/>
    </row>
    <row r="802" spans="8:8" ht="99" customHeight="1">
      <c r="H802" s="281"/>
    </row>
    <row r="803" spans="8:8" ht="99" customHeight="1">
      <c r="H803" s="281"/>
    </row>
    <row r="804" spans="8:8" ht="99" customHeight="1">
      <c r="H804" s="281"/>
    </row>
    <row r="805" spans="8:8" ht="99" customHeight="1">
      <c r="H805" s="281"/>
    </row>
    <row r="806" spans="8:8" ht="99" customHeight="1">
      <c r="H806" s="281"/>
    </row>
    <row r="807" spans="8:8" ht="99" customHeight="1">
      <c r="H807" s="281"/>
    </row>
    <row r="808" spans="8:8" ht="99" customHeight="1">
      <c r="H808" s="281"/>
    </row>
    <row r="809" spans="8:8" ht="99" customHeight="1">
      <c r="H809" s="281"/>
    </row>
    <row r="810" spans="8:8" ht="99" customHeight="1">
      <c r="H810" s="281"/>
    </row>
    <row r="811" spans="8:8" ht="99" customHeight="1">
      <c r="H811" s="281"/>
    </row>
    <row r="812" spans="8:8" ht="99" customHeight="1">
      <c r="H812" s="281"/>
    </row>
    <row r="813" spans="8:8" ht="99" customHeight="1">
      <c r="H813" s="281"/>
    </row>
    <row r="814" spans="8:8" ht="99" customHeight="1">
      <c r="H814" s="281"/>
    </row>
    <row r="815" spans="8:8" ht="99" customHeight="1">
      <c r="H815" s="281"/>
    </row>
    <row r="816" spans="8:8" ht="99" customHeight="1">
      <c r="H816" s="281"/>
    </row>
    <row r="817" spans="8:8" ht="99" customHeight="1">
      <c r="H817" s="281"/>
    </row>
    <row r="818" spans="8:8" ht="99" customHeight="1">
      <c r="H818" s="281"/>
    </row>
    <row r="819" spans="8:8" ht="99" customHeight="1">
      <c r="H819" s="281"/>
    </row>
    <row r="820" spans="8:8" ht="99" customHeight="1">
      <c r="H820" s="281"/>
    </row>
    <row r="821" spans="8:8" ht="99" customHeight="1">
      <c r="H821" s="281"/>
    </row>
    <row r="822" spans="8:8" ht="99" customHeight="1">
      <c r="H822" s="281"/>
    </row>
    <row r="823" spans="8:8" ht="99" customHeight="1">
      <c r="H823" s="281"/>
    </row>
    <row r="824" spans="8:8" ht="99" customHeight="1">
      <c r="H824" s="281"/>
    </row>
    <row r="825" spans="8:8" ht="99" customHeight="1">
      <c r="H825" s="281"/>
    </row>
    <row r="826" spans="8:8" ht="99" customHeight="1">
      <c r="H826" s="281"/>
    </row>
    <row r="827" spans="8:8" ht="99" customHeight="1">
      <c r="H827" s="281"/>
    </row>
    <row r="828" spans="8:8" ht="99" customHeight="1">
      <c r="H828" s="281"/>
    </row>
    <row r="829" spans="8:8" ht="99" customHeight="1">
      <c r="H829" s="281"/>
    </row>
    <row r="830" spans="8:8" ht="99" customHeight="1">
      <c r="H830" s="281"/>
    </row>
    <row r="831" spans="8:8" ht="99" customHeight="1">
      <c r="H831" s="281"/>
    </row>
    <row r="832" spans="8:8" ht="99" customHeight="1">
      <c r="H832" s="281"/>
    </row>
    <row r="833" spans="8:8" ht="99" customHeight="1">
      <c r="H833" s="281"/>
    </row>
    <row r="834" spans="8:8" ht="99" customHeight="1">
      <c r="H834" s="281"/>
    </row>
    <row r="835" spans="8:8" ht="99" customHeight="1">
      <c r="H835" s="281"/>
    </row>
    <row r="836" spans="8:8" ht="99" customHeight="1">
      <c r="H836" s="281"/>
    </row>
    <row r="837" spans="8:8" ht="99" customHeight="1">
      <c r="H837" s="281"/>
    </row>
    <row r="838" spans="8:8" ht="99" customHeight="1">
      <c r="H838" s="281"/>
    </row>
    <row r="839" spans="8:8" ht="99" customHeight="1">
      <c r="H839" s="281"/>
    </row>
    <row r="840" spans="8:8" ht="99" customHeight="1">
      <c r="H840" s="281"/>
    </row>
    <row r="841" spans="8:8" ht="99" customHeight="1">
      <c r="H841" s="281"/>
    </row>
    <row r="842" spans="8:8" ht="99" customHeight="1">
      <c r="H842" s="281"/>
    </row>
    <row r="843" spans="8:8" ht="99" customHeight="1">
      <c r="H843" s="281"/>
    </row>
    <row r="844" spans="8:8" ht="99" customHeight="1">
      <c r="H844" s="281"/>
    </row>
    <row r="845" spans="8:8" ht="99" customHeight="1">
      <c r="H845" s="281"/>
    </row>
    <row r="846" spans="8:8" ht="99" customHeight="1">
      <c r="H846" s="281"/>
    </row>
    <row r="847" spans="8:8" ht="99" customHeight="1">
      <c r="H847" s="281"/>
    </row>
    <row r="848" spans="8:8" ht="99" customHeight="1">
      <c r="H848" s="281"/>
    </row>
    <row r="849" spans="8:8" ht="99" customHeight="1">
      <c r="H849" s="281"/>
    </row>
    <row r="850" spans="8:8" ht="99" customHeight="1">
      <c r="H850" s="281"/>
    </row>
    <row r="851" spans="8:8" ht="99" customHeight="1">
      <c r="H851" s="281"/>
    </row>
    <row r="852" spans="8:8" ht="99" customHeight="1">
      <c r="H852" s="281"/>
    </row>
    <row r="853" spans="8:8" ht="99" customHeight="1">
      <c r="H853" s="281"/>
    </row>
    <row r="854" spans="8:8" ht="99" customHeight="1">
      <c r="H854" s="281"/>
    </row>
    <row r="855" spans="8:8" ht="99" customHeight="1">
      <c r="H855" s="281"/>
    </row>
    <row r="856" spans="8:8" ht="99" customHeight="1">
      <c r="H856" s="281"/>
    </row>
    <row r="857" spans="8:8" ht="99" customHeight="1">
      <c r="H857" s="281"/>
    </row>
    <row r="858" spans="8:8" ht="99" customHeight="1">
      <c r="H858" s="281"/>
    </row>
    <row r="859" spans="8:8" ht="99" customHeight="1">
      <c r="H859" s="281"/>
    </row>
    <row r="860" spans="8:8" ht="99" customHeight="1">
      <c r="H860" s="281"/>
    </row>
    <row r="861" spans="8:8" ht="99" customHeight="1">
      <c r="H861" s="281"/>
    </row>
    <row r="862" spans="8:8" ht="99" customHeight="1">
      <c r="H862" s="281"/>
    </row>
    <row r="863" spans="8:8" ht="99" customHeight="1">
      <c r="H863" s="281"/>
    </row>
    <row r="864" spans="8:8" ht="99" customHeight="1">
      <c r="H864" s="281"/>
    </row>
    <row r="865" spans="8:8" ht="99" customHeight="1">
      <c r="H865" s="281"/>
    </row>
    <row r="866" spans="8:8" ht="99" customHeight="1">
      <c r="H866" s="281"/>
    </row>
    <row r="867" spans="8:8" ht="99" customHeight="1">
      <c r="H867" s="281"/>
    </row>
    <row r="868" spans="8:8" ht="99" customHeight="1">
      <c r="H868" s="281"/>
    </row>
    <row r="869" spans="8:8" ht="99" customHeight="1">
      <c r="H869" s="281"/>
    </row>
    <row r="870" spans="8:8" ht="99" customHeight="1">
      <c r="H870" s="281"/>
    </row>
    <row r="871" spans="8:8" ht="99" customHeight="1">
      <c r="H871" s="281"/>
    </row>
    <row r="872" spans="8:8" ht="99" customHeight="1">
      <c r="H872" s="281"/>
    </row>
    <row r="873" spans="8:8" ht="99" customHeight="1">
      <c r="H873" s="281"/>
    </row>
    <row r="874" spans="8:8" ht="99" customHeight="1">
      <c r="H874" s="281"/>
    </row>
    <row r="875" spans="8:8" ht="99" customHeight="1">
      <c r="H875" s="281"/>
    </row>
    <row r="876" spans="8:8" ht="99" customHeight="1">
      <c r="H876" s="281"/>
    </row>
    <row r="877" spans="8:8" ht="99" customHeight="1">
      <c r="H877" s="281"/>
    </row>
    <row r="878" spans="8:8" ht="99" customHeight="1">
      <c r="H878" s="281"/>
    </row>
    <row r="879" spans="8:8" ht="99" customHeight="1">
      <c r="H879" s="281"/>
    </row>
    <row r="880" spans="8:8" ht="99" customHeight="1">
      <c r="H880" s="281"/>
    </row>
    <row r="881" spans="8:8" ht="99" customHeight="1">
      <c r="H881" s="281"/>
    </row>
    <row r="882" spans="8:8" ht="99" customHeight="1">
      <c r="H882" s="281"/>
    </row>
    <row r="883" spans="8:8" ht="99" customHeight="1">
      <c r="H883" s="281"/>
    </row>
    <row r="884" spans="8:8" ht="99" customHeight="1">
      <c r="H884" s="281"/>
    </row>
    <row r="885" spans="8:8" ht="99" customHeight="1">
      <c r="H885" s="281"/>
    </row>
    <row r="886" spans="8:8" ht="99" customHeight="1">
      <c r="H886" s="281"/>
    </row>
    <row r="887" spans="8:8" ht="99" customHeight="1">
      <c r="H887" s="281"/>
    </row>
    <row r="888" spans="8:8" ht="99" customHeight="1">
      <c r="H888" s="281"/>
    </row>
    <row r="889" spans="8:8" ht="99" customHeight="1">
      <c r="H889" s="281"/>
    </row>
    <row r="890" spans="8:8" ht="99" customHeight="1">
      <c r="H890" s="281"/>
    </row>
    <row r="891" spans="8:8" ht="99" customHeight="1">
      <c r="H891" s="281"/>
    </row>
    <row r="892" spans="8:8" ht="99" customHeight="1">
      <c r="H892" s="281"/>
    </row>
    <row r="893" spans="8:8" ht="99" customHeight="1">
      <c r="H893" s="281"/>
    </row>
    <row r="894" spans="8:8" ht="99" customHeight="1">
      <c r="H894" s="281"/>
    </row>
    <row r="895" spans="8:8" ht="99" customHeight="1">
      <c r="H895" s="281"/>
    </row>
    <row r="896" spans="8:8" ht="99" customHeight="1">
      <c r="H896" s="281"/>
    </row>
    <row r="897" spans="8:8" ht="99" customHeight="1">
      <c r="H897" s="281"/>
    </row>
    <row r="898" spans="8:8" ht="99" customHeight="1">
      <c r="H898" s="281"/>
    </row>
    <row r="899" spans="8:8" ht="99" customHeight="1">
      <c r="H899" s="281"/>
    </row>
    <row r="900" spans="8:8" ht="99" customHeight="1">
      <c r="H900" s="281"/>
    </row>
    <row r="901" spans="8:8" ht="99" customHeight="1">
      <c r="H901" s="281"/>
    </row>
    <row r="902" spans="8:8" ht="99" customHeight="1">
      <c r="H902" s="281"/>
    </row>
    <row r="903" spans="8:8" ht="99" customHeight="1">
      <c r="H903" s="281"/>
    </row>
    <row r="904" spans="8:8" ht="99" customHeight="1">
      <c r="H904" s="281"/>
    </row>
    <row r="905" spans="8:8" ht="99" customHeight="1">
      <c r="H905" s="281"/>
    </row>
    <row r="906" spans="8:8" ht="99" customHeight="1">
      <c r="H906" s="281"/>
    </row>
    <row r="907" spans="8:8" ht="99" customHeight="1">
      <c r="H907" s="281"/>
    </row>
    <row r="908" spans="8:8" ht="99" customHeight="1">
      <c r="H908" s="281"/>
    </row>
    <row r="909" spans="8:8" ht="99" customHeight="1">
      <c r="H909" s="281"/>
    </row>
    <row r="910" spans="8:8" ht="99" customHeight="1">
      <c r="H910" s="281"/>
    </row>
    <row r="911" spans="8:8" ht="99" customHeight="1">
      <c r="H911" s="281"/>
    </row>
    <row r="912" spans="8:8" ht="99" customHeight="1">
      <c r="H912" s="281"/>
    </row>
    <row r="913" spans="8:8" ht="99" customHeight="1">
      <c r="H913" s="281"/>
    </row>
    <row r="914" spans="8:8" ht="99" customHeight="1">
      <c r="H914" s="281"/>
    </row>
    <row r="915" spans="8:8" ht="99" customHeight="1">
      <c r="H915" s="281"/>
    </row>
    <row r="916" spans="8:8" ht="99" customHeight="1">
      <c r="H916" s="281"/>
    </row>
    <row r="917" spans="8:8" ht="99" customHeight="1">
      <c r="H917" s="281"/>
    </row>
    <row r="918" spans="8:8" ht="99" customHeight="1">
      <c r="H918" s="281"/>
    </row>
    <row r="919" spans="8:8" ht="99" customHeight="1">
      <c r="H919" s="281"/>
    </row>
    <row r="920" spans="8:8" ht="99" customHeight="1">
      <c r="H920" s="281"/>
    </row>
    <row r="921" spans="8:8" ht="99" customHeight="1">
      <c r="H921" s="281"/>
    </row>
    <row r="922" spans="8:8" ht="99" customHeight="1">
      <c r="H922" s="281"/>
    </row>
    <row r="923" spans="8:8" ht="99" customHeight="1">
      <c r="H923" s="281"/>
    </row>
    <row r="924" spans="8:8" ht="99" customHeight="1">
      <c r="H924" s="281"/>
    </row>
    <row r="925" spans="8:8" ht="99" customHeight="1">
      <c r="H925" s="281"/>
    </row>
    <row r="926" spans="8:8" ht="99" customHeight="1">
      <c r="H926" s="281"/>
    </row>
    <row r="927" spans="8:8" ht="99" customHeight="1">
      <c r="H927" s="281"/>
    </row>
    <row r="928" spans="8:8" ht="99" customHeight="1">
      <c r="H928" s="281"/>
    </row>
    <row r="929" spans="8:8" ht="99" customHeight="1">
      <c r="H929" s="281"/>
    </row>
    <row r="930" spans="8:8" ht="99" customHeight="1">
      <c r="H930" s="281"/>
    </row>
    <row r="931" spans="8:8" ht="99" customHeight="1">
      <c r="H931" s="281"/>
    </row>
    <row r="932" spans="8:8" ht="99" customHeight="1">
      <c r="H932" s="281"/>
    </row>
    <row r="933" spans="8:8" ht="99" customHeight="1">
      <c r="H933" s="281"/>
    </row>
    <row r="934" spans="8:8" ht="99" customHeight="1">
      <c r="H934" s="281"/>
    </row>
    <row r="935" spans="8:8" ht="99" customHeight="1">
      <c r="H935" s="281"/>
    </row>
    <row r="936" spans="8:8" ht="99" customHeight="1">
      <c r="H936" s="281"/>
    </row>
    <row r="937" spans="8:8" ht="99" customHeight="1">
      <c r="H937" s="281"/>
    </row>
    <row r="938" spans="8:8" ht="99" customHeight="1">
      <c r="H938" s="281"/>
    </row>
    <row r="939" spans="8:8" ht="99" customHeight="1">
      <c r="H939" s="281"/>
    </row>
    <row r="940" spans="8:8" ht="99" customHeight="1">
      <c r="H940" s="281"/>
    </row>
    <row r="941" spans="8:8" ht="99" customHeight="1">
      <c r="H941" s="281"/>
    </row>
    <row r="942" spans="8:8" ht="99" customHeight="1">
      <c r="H942" s="281"/>
    </row>
    <row r="943" spans="8:8" ht="99" customHeight="1">
      <c r="H943" s="281"/>
    </row>
    <row r="944" spans="8:8" ht="99" customHeight="1">
      <c r="H944" s="281"/>
    </row>
    <row r="945" spans="8:8" ht="99" customHeight="1">
      <c r="H945" s="281"/>
    </row>
    <row r="946" spans="8:8" ht="99" customHeight="1">
      <c r="H946" s="281"/>
    </row>
    <row r="947" spans="8:8" ht="99" customHeight="1">
      <c r="H947" s="281"/>
    </row>
    <row r="948" spans="8:8" ht="99" customHeight="1">
      <c r="H948" s="281"/>
    </row>
    <row r="949" spans="8:8" ht="99" customHeight="1">
      <c r="H949" s="281"/>
    </row>
    <row r="950" spans="8:8" ht="99" customHeight="1">
      <c r="H950" s="281"/>
    </row>
    <row r="951" spans="8:8" ht="99" customHeight="1">
      <c r="H951" s="281"/>
    </row>
    <row r="952" spans="8:8" ht="99" customHeight="1">
      <c r="H952" s="281"/>
    </row>
    <row r="953" spans="8:8" ht="99" customHeight="1">
      <c r="H953" s="281"/>
    </row>
    <row r="954" spans="8:8" ht="99" customHeight="1">
      <c r="H954" s="281"/>
    </row>
    <row r="955" spans="8:8" ht="99" customHeight="1">
      <c r="H955" s="281"/>
    </row>
    <row r="956" spans="8:8" ht="99" customHeight="1">
      <c r="H956" s="281"/>
    </row>
    <row r="957" spans="8:8" ht="99" customHeight="1">
      <c r="H957" s="281"/>
    </row>
    <row r="958" spans="8:8" ht="99" customHeight="1">
      <c r="H958" s="281"/>
    </row>
    <row r="959" spans="8:8" ht="99" customHeight="1">
      <c r="H959" s="281"/>
    </row>
    <row r="960" spans="8:8" ht="99" customHeight="1">
      <c r="H960" s="281"/>
    </row>
    <row r="961" spans="8:8" ht="99" customHeight="1">
      <c r="H961" s="281"/>
    </row>
    <row r="962" spans="8:8" ht="99" customHeight="1">
      <c r="H962" s="281"/>
    </row>
    <row r="963" spans="8:8" ht="99" customHeight="1">
      <c r="H963" s="281"/>
    </row>
    <row r="964" spans="8:8" ht="99" customHeight="1">
      <c r="H964" s="281"/>
    </row>
    <row r="965" spans="8:8" ht="99" customHeight="1">
      <c r="H965" s="281"/>
    </row>
    <row r="966" spans="8:8" ht="99" customHeight="1">
      <c r="H966" s="281"/>
    </row>
    <row r="967" spans="8:8" ht="99" customHeight="1">
      <c r="H967" s="281"/>
    </row>
    <row r="968" spans="8:8" ht="99" customHeight="1">
      <c r="H968" s="281"/>
    </row>
    <row r="969" spans="8:8" ht="99" customHeight="1">
      <c r="H969" s="281"/>
    </row>
    <row r="970" spans="8:8" ht="99" customHeight="1">
      <c r="H970" s="281"/>
    </row>
    <row r="971" spans="8:8" ht="99" customHeight="1">
      <c r="H971" s="281"/>
    </row>
    <row r="972" spans="8:8" ht="99" customHeight="1">
      <c r="H972" s="281"/>
    </row>
    <row r="973" spans="8:8" ht="99" customHeight="1">
      <c r="H973" s="281"/>
    </row>
    <row r="974" spans="8:8" ht="99" customHeight="1">
      <c r="H974" s="281"/>
    </row>
    <row r="975" spans="8:8" ht="99" customHeight="1">
      <c r="H975" s="281"/>
    </row>
    <row r="976" spans="8:8" ht="99" customHeight="1">
      <c r="H976" s="281"/>
    </row>
    <row r="977" spans="8:8" ht="99" customHeight="1">
      <c r="H977" s="281"/>
    </row>
    <row r="978" spans="8:8" ht="99" customHeight="1">
      <c r="H978" s="281"/>
    </row>
    <row r="979" spans="8:8" ht="99" customHeight="1">
      <c r="H979" s="281"/>
    </row>
    <row r="980" spans="8:8" ht="99" customHeight="1">
      <c r="H980" s="281"/>
    </row>
    <row r="981" spans="8:8" ht="99" customHeight="1">
      <c r="H981" s="281"/>
    </row>
    <row r="982" spans="8:8" ht="99" customHeight="1">
      <c r="H982" s="281"/>
    </row>
    <row r="983" spans="8:8" ht="99" customHeight="1">
      <c r="H983" s="281"/>
    </row>
    <row r="984" spans="8:8" ht="99" customHeight="1">
      <c r="H984" s="281"/>
    </row>
    <row r="985" spans="8:8" ht="99" customHeight="1">
      <c r="H985" s="281"/>
    </row>
    <row r="986" spans="8:8" ht="99" customHeight="1">
      <c r="H986" s="281"/>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FD7D-C156-4407-8761-1C0CA08B26E9}">
  <sheetPr>
    <tabColor rgb="FFFF6699"/>
  </sheetPr>
  <dimension ref="A1:U939"/>
  <sheetViews>
    <sheetView zoomScale="70" zoomScaleNormal="70" workbookViewId="0">
      <pane ySplit="1" topLeftCell="A2" activePane="bottomLeft" state="frozen"/>
      <selection pane="bottomLeft" activeCell="C3" sqref="C3"/>
    </sheetView>
  </sheetViews>
  <sheetFormatPr defaultColWidth="12.5546875" defaultRowHeight="21"/>
  <cols>
    <col min="1" max="1" width="11" style="281" bestFit="1" customWidth="1"/>
    <col min="2" max="2" width="21.88671875" style="264" bestFit="1" customWidth="1"/>
    <col min="3" max="3" width="101.109375" style="336" bestFit="1" customWidth="1"/>
    <col min="4" max="4" width="67.44140625" style="336" bestFit="1" customWidth="1"/>
    <col min="5" max="5" width="23.6640625" style="264" bestFit="1" customWidth="1"/>
    <col min="6" max="6" width="59.44140625" style="264" bestFit="1" customWidth="1"/>
    <col min="7" max="7" width="12.33203125" style="264" bestFit="1" customWidth="1"/>
    <col min="8" max="8" width="16.6640625" style="319" bestFit="1" customWidth="1"/>
    <col min="9" max="9" width="10.21875" style="282" bestFit="1" customWidth="1"/>
    <col min="10" max="10" width="38.5546875" style="281" bestFit="1" customWidth="1"/>
    <col min="11" max="11" width="28.44140625" style="281" bestFit="1" customWidth="1"/>
    <col min="12" max="12" width="82.5546875" style="264" bestFit="1" customWidth="1"/>
    <col min="13" max="13" width="18.88671875" style="281" bestFit="1" customWidth="1"/>
    <col min="14" max="14" width="72.88671875" style="338" bestFit="1" customWidth="1"/>
    <col min="15" max="15" width="45.44140625" style="264" bestFit="1" customWidth="1"/>
    <col min="16" max="16" width="12.109375" style="264" customWidth="1"/>
    <col min="17" max="16384" width="12.5546875" style="264"/>
  </cols>
  <sheetData>
    <row r="1" spans="1:21" ht="41.25" customHeight="1">
      <c r="A1" s="439" t="s">
        <v>0</v>
      </c>
      <c r="B1" s="439" t="s">
        <v>1190</v>
      </c>
      <c r="C1" s="440" t="s">
        <v>771</v>
      </c>
      <c r="D1" s="440" t="s">
        <v>1584</v>
      </c>
      <c r="E1" s="439" t="s">
        <v>770</v>
      </c>
      <c r="F1" s="439" t="s">
        <v>902</v>
      </c>
      <c r="G1" s="439" t="s">
        <v>4</v>
      </c>
      <c r="H1" s="441" t="s">
        <v>535</v>
      </c>
      <c r="I1" s="341" t="s">
        <v>11</v>
      </c>
      <c r="J1" s="342" t="s">
        <v>652</v>
      </c>
      <c r="K1" s="341" t="s">
        <v>544</v>
      </c>
      <c r="L1" s="341" t="s">
        <v>545</v>
      </c>
      <c r="M1" s="341" t="s">
        <v>653</v>
      </c>
      <c r="N1" s="236" t="s">
        <v>1586</v>
      </c>
      <c r="O1" s="240"/>
      <c r="P1" s="258"/>
      <c r="Q1" s="258"/>
      <c r="R1" s="258"/>
      <c r="S1" s="258"/>
      <c r="T1" s="258"/>
      <c r="U1" s="258"/>
    </row>
    <row r="2" spans="1:21" ht="54" customHeight="1">
      <c r="A2" s="233">
        <v>1</v>
      </c>
      <c r="B2" s="233" t="s">
        <v>1486</v>
      </c>
      <c r="C2" s="234" t="s">
        <v>1487</v>
      </c>
      <c r="D2" s="234"/>
      <c r="E2" s="233" t="s">
        <v>1420</v>
      </c>
      <c r="F2" s="233" t="s">
        <v>1554</v>
      </c>
      <c r="G2" s="233" t="s">
        <v>523</v>
      </c>
      <c r="H2" s="254" t="s">
        <v>1555</v>
      </c>
      <c r="I2" s="442"/>
      <c r="J2" s="233"/>
      <c r="K2" s="233"/>
      <c r="L2" s="233"/>
      <c r="M2" s="233"/>
      <c r="N2" s="241"/>
      <c r="O2" s="240"/>
      <c r="P2" s="258"/>
      <c r="Q2" s="258"/>
      <c r="R2" s="258"/>
      <c r="S2" s="258"/>
      <c r="T2" s="258"/>
      <c r="U2" s="258"/>
    </row>
    <row r="3" spans="1:21" ht="54" customHeight="1">
      <c r="A3" s="233">
        <v>2</v>
      </c>
      <c r="B3" s="233" t="s">
        <v>1488</v>
      </c>
      <c r="C3" s="234" t="s">
        <v>1489</v>
      </c>
      <c r="D3" s="234"/>
      <c r="E3" s="233" t="s">
        <v>1420</v>
      </c>
      <c r="F3" s="233" t="s">
        <v>1556</v>
      </c>
      <c r="G3" s="233" t="s">
        <v>523</v>
      </c>
      <c r="H3" s="254" t="s">
        <v>1555</v>
      </c>
      <c r="I3" s="442"/>
      <c r="J3" s="233"/>
      <c r="K3" s="233"/>
      <c r="L3" s="233"/>
      <c r="M3" s="233"/>
      <c r="N3" s="241"/>
      <c r="O3" s="240"/>
      <c r="P3" s="258"/>
      <c r="Q3" s="258"/>
      <c r="R3" s="258"/>
      <c r="S3" s="258"/>
      <c r="T3" s="258"/>
      <c r="U3" s="258"/>
    </row>
    <row r="4" spans="1:21" ht="54" customHeight="1">
      <c r="A4" s="233">
        <v>3</v>
      </c>
      <c r="B4" s="233" t="s">
        <v>1490</v>
      </c>
      <c r="C4" s="234" t="s">
        <v>1491</v>
      </c>
      <c r="D4" s="234"/>
      <c r="E4" s="233" t="s">
        <v>1420</v>
      </c>
      <c r="F4" s="233" t="s">
        <v>1557</v>
      </c>
      <c r="G4" s="233" t="s">
        <v>523</v>
      </c>
      <c r="H4" s="254" t="s">
        <v>1555</v>
      </c>
      <c r="I4" s="442"/>
      <c r="J4" s="233"/>
      <c r="K4" s="233"/>
      <c r="L4" s="233"/>
      <c r="M4" s="233"/>
      <c r="N4" s="241"/>
      <c r="O4" s="240"/>
      <c r="P4" s="258"/>
      <c r="Q4" s="258"/>
      <c r="R4" s="258"/>
      <c r="S4" s="258"/>
      <c r="T4" s="258"/>
      <c r="U4" s="258"/>
    </row>
    <row r="5" spans="1:21" s="332" customFormat="1" ht="80.25" customHeight="1">
      <c r="A5" s="443">
        <v>4</v>
      </c>
      <c r="B5" s="443" t="s">
        <v>1492</v>
      </c>
      <c r="C5" s="444" t="s">
        <v>1493</v>
      </c>
      <c r="D5" s="444" t="s">
        <v>1595</v>
      </c>
      <c r="E5" s="443" t="s">
        <v>1420</v>
      </c>
      <c r="F5" s="443" t="s">
        <v>1558</v>
      </c>
      <c r="G5" s="443" t="s">
        <v>526</v>
      </c>
      <c r="H5" s="445" t="s">
        <v>1555</v>
      </c>
      <c r="I5" s="446" t="s">
        <v>503</v>
      </c>
      <c r="J5" s="443" t="s">
        <v>1601</v>
      </c>
      <c r="K5" s="443" t="s">
        <v>1596</v>
      </c>
      <c r="L5" s="443"/>
      <c r="M5" s="443" t="s">
        <v>988</v>
      </c>
      <c r="N5" s="447"/>
      <c r="O5" s="448"/>
      <c r="P5" s="291"/>
      <c r="Q5" s="291"/>
      <c r="R5" s="291"/>
      <c r="S5" s="291"/>
      <c r="T5" s="291"/>
      <c r="U5" s="291"/>
    </row>
    <row r="6" spans="1:21" ht="54" customHeight="1">
      <c r="A6" s="233">
        <v>5</v>
      </c>
      <c r="B6" s="233" t="s">
        <v>1494</v>
      </c>
      <c r="C6" s="234" t="s">
        <v>1495</v>
      </c>
      <c r="D6" s="234"/>
      <c r="E6" s="233" t="s">
        <v>1420</v>
      </c>
      <c r="F6" s="233" t="s">
        <v>1330</v>
      </c>
      <c r="G6" s="233" t="s">
        <v>526</v>
      </c>
      <c r="H6" s="254" t="s">
        <v>1555</v>
      </c>
      <c r="I6" s="442"/>
      <c r="J6" s="233"/>
      <c r="K6" s="233"/>
      <c r="L6" s="233"/>
      <c r="M6" s="233"/>
      <c r="N6" s="241"/>
      <c r="O6" s="240"/>
      <c r="P6" s="258"/>
      <c r="Q6" s="258"/>
      <c r="R6" s="258"/>
      <c r="S6" s="258"/>
      <c r="T6" s="258"/>
      <c r="U6" s="258"/>
    </row>
    <row r="7" spans="1:21" s="332" customFormat="1" ht="54" customHeight="1">
      <c r="A7" s="443">
        <v>6</v>
      </c>
      <c r="B7" s="443" t="s">
        <v>1496</v>
      </c>
      <c r="C7" s="444" t="s">
        <v>1497</v>
      </c>
      <c r="D7" s="444" t="s">
        <v>1585</v>
      </c>
      <c r="E7" s="443" t="s">
        <v>1420</v>
      </c>
      <c r="F7" s="443" t="s">
        <v>1559</v>
      </c>
      <c r="G7" s="443" t="s">
        <v>522</v>
      </c>
      <c r="H7" s="445" t="s">
        <v>1555</v>
      </c>
      <c r="I7" s="446" t="s">
        <v>503</v>
      </c>
      <c r="J7" s="443" t="s">
        <v>1592</v>
      </c>
      <c r="K7" s="443" t="s">
        <v>1591</v>
      </c>
      <c r="L7" s="443"/>
      <c r="M7" s="443" t="s">
        <v>988</v>
      </c>
      <c r="N7" s="447" t="s">
        <v>1587</v>
      </c>
      <c r="O7" s="449" t="s">
        <v>1588</v>
      </c>
      <c r="P7" s="291"/>
      <c r="Q7" s="291"/>
      <c r="R7" s="291"/>
      <c r="S7" s="291"/>
      <c r="T7" s="291"/>
      <c r="U7" s="291"/>
    </row>
    <row r="8" spans="1:21" ht="54" customHeight="1">
      <c r="A8" s="233">
        <v>7</v>
      </c>
      <c r="B8" s="233" t="s">
        <v>1498</v>
      </c>
      <c r="C8" s="234" t="s">
        <v>1499</v>
      </c>
      <c r="D8" s="234"/>
      <c r="E8" s="233" t="s">
        <v>1420</v>
      </c>
      <c r="F8" s="233" t="s">
        <v>728</v>
      </c>
      <c r="G8" s="233" t="s">
        <v>522</v>
      </c>
      <c r="H8" s="254" t="s">
        <v>1560</v>
      </c>
      <c r="I8" s="442"/>
      <c r="J8" s="233"/>
      <c r="K8" s="233"/>
      <c r="L8" s="233"/>
      <c r="M8" s="233"/>
      <c r="N8" s="241"/>
      <c r="O8" s="240"/>
      <c r="P8" s="258"/>
      <c r="Q8" s="258"/>
      <c r="R8" s="258"/>
      <c r="S8" s="258"/>
      <c r="T8" s="258"/>
      <c r="U8" s="258"/>
    </row>
    <row r="9" spans="1:21" ht="73.5" customHeight="1">
      <c r="A9" s="233">
        <v>8</v>
      </c>
      <c r="B9" s="233" t="s">
        <v>1500</v>
      </c>
      <c r="C9" s="234" t="s">
        <v>1501</v>
      </c>
      <c r="D9" s="234"/>
      <c r="E9" s="233" t="s">
        <v>1420</v>
      </c>
      <c r="F9" s="233" t="s">
        <v>1561</v>
      </c>
      <c r="G9" s="233" t="s">
        <v>522</v>
      </c>
      <c r="H9" s="254" t="s">
        <v>1555</v>
      </c>
      <c r="I9" s="442"/>
      <c r="J9" s="233"/>
      <c r="K9" s="233"/>
      <c r="L9" s="233"/>
      <c r="M9" s="233"/>
      <c r="N9" s="241"/>
      <c r="O9" s="240"/>
      <c r="P9" s="258"/>
      <c r="Q9" s="258"/>
      <c r="R9" s="258"/>
      <c r="S9" s="258"/>
      <c r="T9" s="258"/>
      <c r="U9" s="258"/>
    </row>
    <row r="10" spans="1:21" ht="54" customHeight="1">
      <c r="A10" s="233">
        <v>9</v>
      </c>
      <c r="B10" s="233" t="s">
        <v>1502</v>
      </c>
      <c r="C10" s="234" t="s">
        <v>1503</v>
      </c>
      <c r="D10" s="234"/>
      <c r="E10" s="233" t="s">
        <v>1420</v>
      </c>
      <c r="F10" s="233" t="s">
        <v>1562</v>
      </c>
      <c r="G10" s="233" t="s">
        <v>522</v>
      </c>
      <c r="H10" s="254" t="s">
        <v>1555</v>
      </c>
      <c r="I10" s="442"/>
      <c r="J10" s="233"/>
      <c r="K10" s="233"/>
      <c r="L10" s="233"/>
      <c r="M10" s="233"/>
      <c r="N10" s="241"/>
      <c r="O10" s="240"/>
      <c r="P10" s="258"/>
      <c r="Q10" s="258"/>
      <c r="R10" s="258"/>
      <c r="S10" s="258"/>
      <c r="T10" s="258"/>
      <c r="U10" s="258"/>
    </row>
    <row r="11" spans="1:21" ht="54" customHeight="1">
      <c r="A11" s="233">
        <v>10</v>
      </c>
      <c r="B11" s="233" t="s">
        <v>1504</v>
      </c>
      <c r="C11" s="234" t="s">
        <v>1505</v>
      </c>
      <c r="D11" s="234"/>
      <c r="E11" s="233" t="s">
        <v>1420</v>
      </c>
      <c r="F11" s="233" t="s">
        <v>790</v>
      </c>
      <c r="G11" s="233" t="s">
        <v>522</v>
      </c>
      <c r="H11" s="254" t="s">
        <v>1555</v>
      </c>
      <c r="I11" s="442"/>
      <c r="J11" s="233"/>
      <c r="K11" s="233"/>
      <c r="L11" s="233"/>
      <c r="M11" s="233"/>
      <c r="N11" s="241"/>
      <c r="O11" s="240"/>
      <c r="P11" s="258"/>
      <c r="Q11" s="258"/>
      <c r="R11" s="258"/>
      <c r="S11" s="258"/>
      <c r="T11" s="258"/>
      <c r="U11" s="258"/>
    </row>
    <row r="12" spans="1:21" ht="54" customHeight="1">
      <c r="A12" s="233">
        <v>11</v>
      </c>
      <c r="B12" s="233" t="s">
        <v>1506</v>
      </c>
      <c r="C12" s="234" t="s">
        <v>1507</v>
      </c>
      <c r="D12" s="234"/>
      <c r="E12" s="233" t="s">
        <v>1420</v>
      </c>
      <c r="F12" s="233" t="s">
        <v>1563</v>
      </c>
      <c r="G12" s="233" t="s">
        <v>522</v>
      </c>
      <c r="H12" s="254" t="s">
        <v>1555</v>
      </c>
      <c r="I12" s="442"/>
      <c r="J12" s="233"/>
      <c r="K12" s="233"/>
      <c r="L12" s="233"/>
      <c r="M12" s="233"/>
      <c r="N12" s="241"/>
      <c r="O12" s="240"/>
      <c r="P12" s="258"/>
      <c r="Q12" s="258"/>
      <c r="R12" s="258"/>
      <c r="S12" s="258"/>
      <c r="T12" s="258"/>
      <c r="U12" s="258"/>
    </row>
    <row r="13" spans="1:21" ht="54" customHeight="1">
      <c r="A13" s="233">
        <v>12</v>
      </c>
      <c r="B13" s="233" t="s">
        <v>1508</v>
      </c>
      <c r="C13" s="234" t="s">
        <v>1509</v>
      </c>
      <c r="D13" s="234"/>
      <c r="E13" s="233" t="s">
        <v>926</v>
      </c>
      <c r="F13" s="233" t="s">
        <v>1564</v>
      </c>
      <c r="G13" s="233" t="s">
        <v>522</v>
      </c>
      <c r="H13" s="254" t="s">
        <v>1555</v>
      </c>
      <c r="I13" s="442"/>
      <c r="J13" s="233"/>
      <c r="K13" s="233"/>
      <c r="L13" s="233"/>
      <c r="M13" s="233"/>
      <c r="N13" s="241"/>
      <c r="O13" s="240"/>
      <c r="P13" s="258"/>
      <c r="Q13" s="258"/>
      <c r="R13" s="258"/>
      <c r="S13" s="258"/>
      <c r="T13" s="258"/>
      <c r="U13" s="258"/>
    </row>
    <row r="14" spans="1:21" ht="54" customHeight="1">
      <c r="A14" s="233">
        <v>13</v>
      </c>
      <c r="B14" s="233" t="s">
        <v>1510</v>
      </c>
      <c r="C14" s="234" t="s">
        <v>1511</v>
      </c>
      <c r="D14" s="234"/>
      <c r="E14" s="233" t="s">
        <v>1420</v>
      </c>
      <c r="F14" s="233" t="s">
        <v>1565</v>
      </c>
      <c r="G14" s="233" t="s">
        <v>521</v>
      </c>
      <c r="H14" s="254" t="s">
        <v>1560</v>
      </c>
      <c r="I14" s="442"/>
      <c r="J14" s="233"/>
      <c r="K14" s="233"/>
      <c r="L14" s="233"/>
      <c r="M14" s="233"/>
      <c r="N14" s="241"/>
      <c r="O14" s="240"/>
      <c r="P14" s="258"/>
      <c r="Q14" s="258"/>
      <c r="R14" s="258"/>
      <c r="S14" s="258"/>
      <c r="T14" s="258"/>
      <c r="U14" s="258"/>
    </row>
    <row r="15" spans="1:21" s="332" customFormat="1" ht="74.25" customHeight="1">
      <c r="A15" s="443">
        <v>14</v>
      </c>
      <c r="B15" s="443" t="s">
        <v>1512</v>
      </c>
      <c r="C15" s="444" t="s">
        <v>1513</v>
      </c>
      <c r="D15" s="444" t="s">
        <v>1593</v>
      </c>
      <c r="E15" s="443" t="s">
        <v>1420</v>
      </c>
      <c r="F15" s="443" t="s">
        <v>1566</v>
      </c>
      <c r="G15" s="443" t="s">
        <v>521</v>
      </c>
      <c r="H15" s="445" t="s">
        <v>1555</v>
      </c>
      <c r="I15" s="446" t="s">
        <v>503</v>
      </c>
      <c r="J15" s="443" t="s">
        <v>1602</v>
      </c>
      <c r="K15" s="450" t="s">
        <v>1594</v>
      </c>
      <c r="L15" s="443"/>
      <c r="M15" s="443" t="s">
        <v>988</v>
      </c>
      <c r="N15" s="447"/>
      <c r="O15" s="448"/>
      <c r="P15" s="291"/>
      <c r="Q15" s="291"/>
      <c r="R15" s="291"/>
      <c r="S15" s="291"/>
      <c r="T15" s="291"/>
      <c r="U15" s="291"/>
    </row>
    <row r="16" spans="1:21" ht="54" customHeight="1">
      <c r="A16" s="233">
        <v>15</v>
      </c>
      <c r="B16" s="233" t="s">
        <v>1514</v>
      </c>
      <c r="C16" s="234" t="s">
        <v>1515</v>
      </c>
      <c r="D16" s="234"/>
      <c r="E16" s="233" t="s">
        <v>1420</v>
      </c>
      <c r="F16" s="233" t="s">
        <v>1217</v>
      </c>
      <c r="G16" s="233" t="s">
        <v>521</v>
      </c>
      <c r="H16" s="254" t="s">
        <v>1560</v>
      </c>
      <c r="I16" s="442"/>
      <c r="J16" s="233"/>
      <c r="K16" s="233"/>
      <c r="L16" s="233"/>
      <c r="M16" s="233"/>
      <c r="N16" s="241"/>
      <c r="O16" s="240"/>
      <c r="P16" s="258"/>
      <c r="Q16" s="258"/>
      <c r="R16" s="258"/>
      <c r="S16" s="258"/>
      <c r="T16" s="258"/>
      <c r="U16" s="258"/>
    </row>
    <row r="17" spans="1:21" ht="54" customHeight="1">
      <c r="A17" s="233">
        <v>16</v>
      </c>
      <c r="B17" s="233" t="s">
        <v>1516</v>
      </c>
      <c r="C17" s="234" t="s">
        <v>1517</v>
      </c>
      <c r="D17" s="234"/>
      <c r="E17" s="233" t="s">
        <v>1420</v>
      </c>
      <c r="F17" s="233" t="s">
        <v>1567</v>
      </c>
      <c r="G17" s="233" t="s">
        <v>521</v>
      </c>
      <c r="H17" s="254" t="s">
        <v>1560</v>
      </c>
      <c r="I17" s="442"/>
      <c r="J17" s="233"/>
      <c r="K17" s="233"/>
      <c r="L17" s="233"/>
      <c r="M17" s="233"/>
      <c r="N17" s="241"/>
      <c r="O17" s="240"/>
      <c r="P17" s="258"/>
      <c r="Q17" s="258"/>
      <c r="R17" s="258"/>
      <c r="S17" s="258"/>
      <c r="T17" s="258"/>
      <c r="U17" s="258"/>
    </row>
    <row r="18" spans="1:21" ht="54" customHeight="1">
      <c r="A18" s="233">
        <v>17</v>
      </c>
      <c r="B18" s="233" t="s">
        <v>1518</v>
      </c>
      <c r="C18" s="234" t="s">
        <v>1519</v>
      </c>
      <c r="D18" s="234"/>
      <c r="E18" s="233" t="s">
        <v>1420</v>
      </c>
      <c r="F18" s="233" t="s">
        <v>1568</v>
      </c>
      <c r="G18" s="233" t="s">
        <v>521</v>
      </c>
      <c r="H18" s="254" t="s">
        <v>1555</v>
      </c>
      <c r="I18" s="442"/>
      <c r="J18" s="233"/>
      <c r="K18" s="233"/>
      <c r="L18" s="233"/>
      <c r="M18" s="233"/>
      <c r="N18" s="241"/>
      <c r="O18" s="240"/>
      <c r="P18" s="258"/>
      <c r="Q18" s="258"/>
      <c r="R18" s="258"/>
      <c r="S18" s="258"/>
      <c r="T18" s="258"/>
      <c r="U18" s="258"/>
    </row>
    <row r="19" spans="1:21" ht="54" customHeight="1">
      <c r="A19" s="233">
        <v>18</v>
      </c>
      <c r="B19" s="233" t="s">
        <v>1520</v>
      </c>
      <c r="C19" s="234" t="s">
        <v>1521</v>
      </c>
      <c r="D19" s="234"/>
      <c r="E19" s="233" t="s">
        <v>1420</v>
      </c>
      <c r="F19" s="233" t="s">
        <v>1259</v>
      </c>
      <c r="G19" s="233" t="s">
        <v>524</v>
      </c>
      <c r="H19" s="254" t="s">
        <v>1560</v>
      </c>
      <c r="I19" s="442"/>
      <c r="J19" s="233"/>
      <c r="K19" s="233"/>
      <c r="L19" s="233"/>
      <c r="M19" s="233"/>
      <c r="N19" s="241"/>
      <c r="O19" s="240"/>
      <c r="P19" s="258"/>
      <c r="Q19" s="258"/>
      <c r="R19" s="258"/>
      <c r="S19" s="258"/>
      <c r="T19" s="258"/>
      <c r="U19" s="258"/>
    </row>
    <row r="20" spans="1:21" ht="54" customHeight="1">
      <c r="A20" s="233">
        <v>19</v>
      </c>
      <c r="B20" s="233" t="s">
        <v>1522</v>
      </c>
      <c r="C20" s="234" t="s">
        <v>1523</v>
      </c>
      <c r="D20" s="234"/>
      <c r="E20" s="233" t="s">
        <v>1420</v>
      </c>
      <c r="F20" s="233" t="s">
        <v>1075</v>
      </c>
      <c r="G20" s="233" t="s">
        <v>524</v>
      </c>
      <c r="H20" s="254" t="s">
        <v>1569</v>
      </c>
      <c r="I20" s="442"/>
      <c r="J20" s="233"/>
      <c r="K20" s="233"/>
      <c r="L20" s="233"/>
      <c r="M20" s="233"/>
      <c r="N20" s="241"/>
      <c r="O20" s="240"/>
      <c r="P20" s="258"/>
      <c r="Q20" s="258"/>
      <c r="R20" s="258"/>
      <c r="S20" s="258"/>
      <c r="T20" s="258"/>
      <c r="U20" s="258"/>
    </row>
    <row r="21" spans="1:21" ht="54" customHeight="1">
      <c r="A21" s="233">
        <v>20</v>
      </c>
      <c r="B21" s="233" t="s">
        <v>1524</v>
      </c>
      <c r="C21" s="234" t="s">
        <v>1525</v>
      </c>
      <c r="D21" s="234"/>
      <c r="E21" s="233" t="s">
        <v>1420</v>
      </c>
      <c r="F21" s="233" t="s">
        <v>1570</v>
      </c>
      <c r="G21" s="233" t="s">
        <v>524</v>
      </c>
      <c r="H21" s="254" t="s">
        <v>1555</v>
      </c>
      <c r="I21" s="442"/>
      <c r="J21" s="233"/>
      <c r="K21" s="233"/>
      <c r="L21" s="233"/>
      <c r="M21" s="233"/>
      <c r="N21" s="241"/>
      <c r="O21" s="240"/>
      <c r="P21" s="258"/>
      <c r="Q21" s="258"/>
      <c r="R21" s="258"/>
      <c r="S21" s="258"/>
      <c r="T21" s="258"/>
      <c r="U21" s="258"/>
    </row>
    <row r="22" spans="1:21" ht="54" customHeight="1">
      <c r="A22" s="233">
        <v>21</v>
      </c>
      <c r="B22" s="233" t="s">
        <v>1526</v>
      </c>
      <c r="C22" s="234" t="s">
        <v>1527</v>
      </c>
      <c r="D22" s="234"/>
      <c r="E22" s="233" t="s">
        <v>1420</v>
      </c>
      <c r="F22" s="233" t="s">
        <v>1571</v>
      </c>
      <c r="G22" s="233" t="s">
        <v>524</v>
      </c>
      <c r="H22" s="254" t="s">
        <v>1560</v>
      </c>
      <c r="I22" s="442"/>
      <c r="J22" s="233"/>
      <c r="K22" s="233"/>
      <c r="L22" s="233"/>
      <c r="M22" s="233"/>
      <c r="N22" s="241"/>
      <c r="O22" s="240"/>
      <c r="P22" s="258"/>
      <c r="Q22" s="258"/>
      <c r="R22" s="258"/>
      <c r="S22" s="258"/>
      <c r="T22" s="258"/>
      <c r="U22" s="258"/>
    </row>
    <row r="23" spans="1:21" ht="54" customHeight="1">
      <c r="A23" s="233">
        <v>22</v>
      </c>
      <c r="B23" s="233" t="s">
        <v>1528</v>
      </c>
      <c r="C23" s="234" t="s">
        <v>1529</v>
      </c>
      <c r="D23" s="234"/>
      <c r="E23" s="233" t="s">
        <v>1420</v>
      </c>
      <c r="F23" s="233" t="s">
        <v>1572</v>
      </c>
      <c r="G23" s="233" t="s">
        <v>524</v>
      </c>
      <c r="H23" s="254" t="s">
        <v>1560</v>
      </c>
      <c r="I23" s="442"/>
      <c r="J23" s="233"/>
      <c r="K23" s="233"/>
      <c r="L23" s="233"/>
      <c r="M23" s="233"/>
      <c r="N23" s="241"/>
      <c r="O23" s="240"/>
      <c r="P23" s="258"/>
      <c r="Q23" s="258"/>
      <c r="R23" s="258"/>
      <c r="S23" s="258"/>
      <c r="T23" s="258"/>
      <c r="U23" s="258"/>
    </row>
    <row r="24" spans="1:21" ht="54" customHeight="1">
      <c r="A24" s="233">
        <v>23</v>
      </c>
      <c r="B24" s="233" t="s">
        <v>1530</v>
      </c>
      <c r="C24" s="234" t="s">
        <v>1531</v>
      </c>
      <c r="D24" s="234"/>
      <c r="E24" s="233" t="s">
        <v>1420</v>
      </c>
      <c r="F24" s="233" t="s">
        <v>1573</v>
      </c>
      <c r="G24" s="233" t="s">
        <v>524</v>
      </c>
      <c r="H24" s="254" t="s">
        <v>1555</v>
      </c>
      <c r="I24" s="442"/>
      <c r="J24" s="233"/>
      <c r="K24" s="233"/>
      <c r="L24" s="233"/>
      <c r="M24" s="233"/>
      <c r="N24" s="241"/>
      <c r="O24" s="240"/>
      <c r="P24" s="258"/>
      <c r="Q24" s="258"/>
      <c r="R24" s="258"/>
      <c r="S24" s="258"/>
      <c r="T24" s="258"/>
      <c r="U24" s="258"/>
    </row>
    <row r="25" spans="1:21" ht="54" customHeight="1">
      <c r="A25" s="233">
        <v>24</v>
      </c>
      <c r="B25" s="233" t="s">
        <v>1532</v>
      </c>
      <c r="C25" s="234" t="s">
        <v>1533</v>
      </c>
      <c r="D25" s="234"/>
      <c r="E25" s="233" t="s">
        <v>1420</v>
      </c>
      <c r="F25" s="233" t="s">
        <v>1574</v>
      </c>
      <c r="G25" s="233" t="s">
        <v>524</v>
      </c>
      <c r="H25" s="254" t="s">
        <v>1560</v>
      </c>
      <c r="I25" s="442"/>
      <c r="J25" s="233"/>
      <c r="K25" s="233"/>
      <c r="L25" s="233"/>
      <c r="M25" s="233"/>
      <c r="N25" s="241"/>
      <c r="O25" s="240"/>
      <c r="P25" s="258"/>
      <c r="Q25" s="258"/>
      <c r="R25" s="258"/>
      <c r="S25" s="258"/>
      <c r="T25" s="258"/>
      <c r="U25" s="258"/>
    </row>
    <row r="26" spans="1:21" ht="54" customHeight="1">
      <c r="A26" s="233">
        <v>25</v>
      </c>
      <c r="B26" s="233" t="s">
        <v>1534</v>
      </c>
      <c r="C26" s="234" t="s">
        <v>1535</v>
      </c>
      <c r="D26" s="234"/>
      <c r="E26" s="233" t="s">
        <v>1420</v>
      </c>
      <c r="F26" s="233" t="s">
        <v>1257</v>
      </c>
      <c r="G26" s="233" t="s">
        <v>524</v>
      </c>
      <c r="H26" s="254" t="s">
        <v>1560</v>
      </c>
      <c r="I26" s="442"/>
      <c r="J26" s="233"/>
      <c r="K26" s="233"/>
      <c r="L26" s="233"/>
      <c r="M26" s="233"/>
      <c r="N26" s="241"/>
      <c r="O26" s="240"/>
      <c r="P26" s="258"/>
      <c r="Q26" s="258"/>
      <c r="R26" s="258"/>
      <c r="S26" s="258"/>
      <c r="T26" s="258"/>
      <c r="U26" s="258"/>
    </row>
    <row r="27" spans="1:21" ht="54" customHeight="1">
      <c r="A27" s="233">
        <v>26</v>
      </c>
      <c r="B27" s="233" t="s">
        <v>1536</v>
      </c>
      <c r="C27" s="234" t="s">
        <v>1537</v>
      </c>
      <c r="D27" s="234"/>
      <c r="E27" s="233" t="s">
        <v>1420</v>
      </c>
      <c r="F27" s="233" t="s">
        <v>1240</v>
      </c>
      <c r="G27" s="233" t="s">
        <v>525</v>
      </c>
      <c r="H27" s="254" t="s">
        <v>1560</v>
      </c>
      <c r="I27" s="442"/>
      <c r="J27" s="233"/>
      <c r="K27" s="233"/>
      <c r="L27" s="233"/>
      <c r="M27" s="233"/>
      <c r="N27" s="241"/>
      <c r="O27" s="240"/>
      <c r="P27" s="258"/>
      <c r="Q27" s="258"/>
      <c r="R27" s="258"/>
      <c r="S27" s="258"/>
      <c r="T27" s="258"/>
      <c r="U27" s="258"/>
    </row>
    <row r="28" spans="1:21" ht="54" customHeight="1">
      <c r="A28" s="233">
        <v>27</v>
      </c>
      <c r="B28" s="233" t="s">
        <v>1538</v>
      </c>
      <c r="C28" s="234" t="s">
        <v>1539</v>
      </c>
      <c r="D28" s="234"/>
      <c r="E28" s="233" t="s">
        <v>1420</v>
      </c>
      <c r="F28" s="233" t="s">
        <v>1575</v>
      </c>
      <c r="G28" s="233" t="s">
        <v>525</v>
      </c>
      <c r="H28" s="254" t="s">
        <v>1555</v>
      </c>
      <c r="I28" s="442"/>
      <c r="J28" s="233"/>
      <c r="K28" s="233"/>
      <c r="L28" s="233"/>
      <c r="M28" s="233"/>
      <c r="N28" s="241"/>
      <c r="O28" s="240"/>
      <c r="P28" s="258"/>
      <c r="Q28" s="258"/>
      <c r="R28" s="258"/>
      <c r="S28" s="258"/>
      <c r="T28" s="258"/>
      <c r="U28" s="258"/>
    </row>
    <row r="29" spans="1:21" s="332" customFormat="1" ht="161.25" customHeight="1">
      <c r="A29" s="443">
        <v>28</v>
      </c>
      <c r="B29" s="443" t="s">
        <v>1540</v>
      </c>
      <c r="C29" s="444" t="s">
        <v>1541</v>
      </c>
      <c r="D29" s="444"/>
      <c r="E29" s="443" t="s">
        <v>1420</v>
      </c>
      <c r="F29" s="443" t="s">
        <v>1242</v>
      </c>
      <c r="G29" s="443" t="s">
        <v>525</v>
      </c>
      <c r="H29" s="445" t="s">
        <v>1555</v>
      </c>
      <c r="I29" s="451" t="s">
        <v>503</v>
      </c>
      <c r="J29" s="452" t="s">
        <v>1615</v>
      </c>
      <c r="K29" s="450" t="s">
        <v>1613</v>
      </c>
      <c r="L29" s="443"/>
      <c r="M29" s="443" t="s">
        <v>1614</v>
      </c>
      <c r="N29" s="447" t="s">
        <v>1612</v>
      </c>
      <c r="O29" s="448"/>
      <c r="P29" s="291"/>
      <c r="Q29" s="291"/>
      <c r="R29" s="291"/>
      <c r="S29" s="291"/>
      <c r="T29" s="291"/>
      <c r="U29" s="291"/>
    </row>
    <row r="30" spans="1:21" ht="54" customHeight="1">
      <c r="A30" s="233">
        <v>29</v>
      </c>
      <c r="B30" s="233" t="s">
        <v>1542</v>
      </c>
      <c r="C30" s="234" t="s">
        <v>1543</v>
      </c>
      <c r="D30" s="234"/>
      <c r="E30" s="233" t="s">
        <v>1420</v>
      </c>
      <c r="F30" s="233" t="s">
        <v>1576</v>
      </c>
      <c r="G30" s="233" t="s">
        <v>525</v>
      </c>
      <c r="H30" s="254" t="s">
        <v>1560</v>
      </c>
      <c r="I30" s="442"/>
      <c r="J30" s="233"/>
      <c r="K30" s="233"/>
      <c r="L30" s="233"/>
      <c r="M30" s="233"/>
      <c r="N30" s="241"/>
      <c r="O30" s="240"/>
      <c r="P30" s="258"/>
      <c r="Q30" s="258"/>
      <c r="R30" s="258"/>
      <c r="S30" s="258"/>
      <c r="T30" s="258"/>
      <c r="U30" s="258"/>
    </row>
    <row r="31" spans="1:21" s="332" customFormat="1" ht="84.75" customHeight="1">
      <c r="A31" s="443">
        <v>30</v>
      </c>
      <c r="B31" s="443" t="s">
        <v>1544</v>
      </c>
      <c r="C31" s="444" t="s">
        <v>1545</v>
      </c>
      <c r="D31" s="444" t="s">
        <v>1609</v>
      </c>
      <c r="E31" s="443" t="s">
        <v>1420</v>
      </c>
      <c r="F31" s="443" t="s">
        <v>1234</v>
      </c>
      <c r="G31" s="443" t="s">
        <v>519</v>
      </c>
      <c r="H31" s="445" t="s">
        <v>1560</v>
      </c>
      <c r="I31" s="446" t="s">
        <v>503</v>
      </c>
      <c r="J31" s="453" t="s">
        <v>1610</v>
      </c>
      <c r="K31" s="443"/>
      <c r="L31" s="450" t="s">
        <v>1611</v>
      </c>
      <c r="M31" s="443" t="s">
        <v>988</v>
      </c>
      <c r="N31" s="447"/>
      <c r="O31" s="448"/>
      <c r="P31" s="291"/>
      <c r="Q31" s="291"/>
      <c r="R31" s="291"/>
      <c r="S31" s="291"/>
      <c r="T31" s="291"/>
      <c r="U31" s="291"/>
    </row>
    <row r="32" spans="1:21" s="332" customFormat="1" ht="102" customHeight="1">
      <c r="A32" s="443">
        <v>31</v>
      </c>
      <c r="B32" s="443" t="s">
        <v>1546</v>
      </c>
      <c r="C32" s="444" t="s">
        <v>1547</v>
      </c>
      <c r="D32" s="444" t="s">
        <v>1623</v>
      </c>
      <c r="E32" s="443" t="s">
        <v>1420</v>
      </c>
      <c r="F32" s="443" t="s">
        <v>1236</v>
      </c>
      <c r="G32" s="443" t="s">
        <v>519</v>
      </c>
      <c r="H32" s="445" t="s">
        <v>1555</v>
      </c>
      <c r="I32" s="446" t="s">
        <v>503</v>
      </c>
      <c r="J32" s="443" t="s">
        <v>1627</v>
      </c>
      <c r="K32" s="450" t="s">
        <v>1302</v>
      </c>
      <c r="L32" s="443"/>
      <c r="M32" s="443" t="s">
        <v>988</v>
      </c>
      <c r="N32" s="447" t="s">
        <v>1628</v>
      </c>
      <c r="O32" s="448"/>
      <c r="P32" s="291"/>
      <c r="Q32" s="291"/>
      <c r="R32" s="291"/>
      <c r="S32" s="291"/>
      <c r="T32" s="291"/>
      <c r="U32" s="291"/>
    </row>
    <row r="33" spans="1:21" s="332" customFormat="1" ht="226.5" customHeight="1">
      <c r="A33" s="443">
        <v>32</v>
      </c>
      <c r="B33" s="443" t="s">
        <v>1548</v>
      </c>
      <c r="C33" s="444" t="s">
        <v>1549</v>
      </c>
      <c r="D33" s="444" t="s">
        <v>1619</v>
      </c>
      <c r="E33" s="443" t="s">
        <v>1420</v>
      </c>
      <c r="F33" s="443" t="s">
        <v>1231</v>
      </c>
      <c r="G33" s="443" t="s">
        <v>519</v>
      </c>
      <c r="H33" s="445" t="s">
        <v>1560</v>
      </c>
      <c r="I33" s="446" t="s">
        <v>503</v>
      </c>
      <c r="J33" s="443" t="s">
        <v>1617</v>
      </c>
      <c r="K33" s="443"/>
      <c r="L33" s="450" t="s">
        <v>1611</v>
      </c>
      <c r="M33" s="443" t="s">
        <v>988</v>
      </c>
      <c r="N33" s="447" t="s">
        <v>1618</v>
      </c>
      <c r="O33" s="447" t="s">
        <v>1620</v>
      </c>
      <c r="P33" s="291"/>
      <c r="Q33" s="291"/>
      <c r="R33" s="291"/>
      <c r="S33" s="291"/>
      <c r="T33" s="291"/>
      <c r="U33" s="291"/>
    </row>
    <row r="34" spans="1:21" ht="54" customHeight="1">
      <c r="A34" s="233">
        <v>33</v>
      </c>
      <c r="B34" s="233" t="s">
        <v>1550</v>
      </c>
      <c r="C34" s="234" t="s">
        <v>1551</v>
      </c>
      <c r="D34" s="234"/>
      <c r="E34" s="233" t="s">
        <v>1420</v>
      </c>
      <c r="F34" s="233" t="s">
        <v>832</v>
      </c>
      <c r="G34" s="233" t="s">
        <v>520</v>
      </c>
      <c r="H34" s="254" t="s">
        <v>1569</v>
      </c>
      <c r="I34" s="442"/>
      <c r="J34" s="233"/>
      <c r="K34" s="233"/>
      <c r="L34" s="233"/>
      <c r="M34" s="233"/>
      <c r="N34" s="241"/>
      <c r="O34" s="240"/>
      <c r="P34" s="258"/>
      <c r="Q34" s="258"/>
      <c r="R34" s="258"/>
      <c r="S34" s="258"/>
      <c r="T34" s="258"/>
      <c r="U34" s="258"/>
    </row>
    <row r="35" spans="1:21" ht="54" customHeight="1">
      <c r="A35" s="233">
        <v>34</v>
      </c>
      <c r="B35" s="233" t="s">
        <v>1552</v>
      </c>
      <c r="C35" s="234" t="s">
        <v>1553</v>
      </c>
      <c r="D35" s="234"/>
      <c r="E35" s="233" t="s">
        <v>1420</v>
      </c>
      <c r="F35" s="233" t="s">
        <v>1577</v>
      </c>
      <c r="G35" s="233" t="s">
        <v>520</v>
      </c>
      <c r="H35" s="254" t="s">
        <v>1569</v>
      </c>
      <c r="I35" s="442"/>
      <c r="J35" s="233"/>
      <c r="K35" s="233"/>
      <c r="L35" s="233"/>
      <c r="M35" s="233"/>
      <c r="N35" s="241"/>
      <c r="O35" s="240"/>
      <c r="P35" s="258"/>
      <c r="Q35" s="258"/>
      <c r="R35" s="258"/>
      <c r="S35" s="258"/>
      <c r="T35" s="258"/>
      <c r="U35" s="258"/>
    </row>
    <row r="36" spans="1:21" ht="29.25" customHeight="1">
      <c r="A36" s="256"/>
      <c r="B36" s="256"/>
      <c r="C36" s="335"/>
      <c r="D36" s="335"/>
      <c r="E36" s="256"/>
      <c r="F36" s="256"/>
      <c r="G36" s="256"/>
      <c r="H36" s="261"/>
      <c r="I36" s="281"/>
      <c r="J36" s="256"/>
      <c r="K36" s="256"/>
      <c r="L36" s="258"/>
      <c r="M36" s="256"/>
      <c r="N36" s="337"/>
      <c r="O36" s="258"/>
      <c r="P36" s="258"/>
      <c r="Q36" s="258"/>
      <c r="R36" s="258"/>
      <c r="S36" s="258"/>
      <c r="T36" s="258"/>
      <c r="U36" s="258"/>
    </row>
    <row r="37" spans="1:21" ht="29.25" customHeight="1">
      <c r="A37" s="256"/>
      <c r="B37" s="256"/>
      <c r="C37" s="335"/>
      <c r="D37" s="335"/>
      <c r="E37" s="256"/>
      <c r="F37" s="256"/>
      <c r="G37" s="256"/>
      <c r="H37" s="261"/>
      <c r="I37" s="281"/>
      <c r="J37" s="256"/>
      <c r="K37" s="256"/>
      <c r="L37" s="258"/>
      <c r="M37" s="256"/>
      <c r="N37" s="337"/>
      <c r="O37" s="258"/>
      <c r="P37" s="258"/>
      <c r="Q37" s="258"/>
      <c r="R37" s="258"/>
      <c r="S37" s="258"/>
      <c r="T37" s="258"/>
      <c r="U37" s="258"/>
    </row>
    <row r="38" spans="1:21" ht="29.25" customHeight="1">
      <c r="A38" s="256"/>
      <c r="B38" s="256"/>
      <c r="C38" s="335"/>
      <c r="D38" s="335"/>
      <c r="E38" s="256"/>
      <c r="F38" s="256"/>
      <c r="G38" s="256"/>
      <c r="H38" s="261"/>
      <c r="I38" s="281"/>
      <c r="J38" s="256"/>
      <c r="K38" s="256"/>
      <c r="L38" s="258"/>
      <c r="M38" s="256"/>
      <c r="N38" s="337"/>
      <c r="O38" s="258"/>
      <c r="P38" s="258"/>
      <c r="Q38" s="258"/>
      <c r="R38" s="258"/>
      <c r="S38" s="258"/>
      <c r="T38" s="258"/>
      <c r="U38" s="258"/>
    </row>
    <row r="39" spans="1:21" ht="29.25" customHeight="1">
      <c r="A39" s="256"/>
      <c r="B39" s="256"/>
      <c r="C39" s="335"/>
      <c r="D39" s="335"/>
      <c r="E39" s="256"/>
      <c r="F39" s="256"/>
      <c r="G39" s="256"/>
      <c r="H39" s="261"/>
      <c r="I39" s="281"/>
      <c r="J39" s="256"/>
      <c r="K39" s="256"/>
      <c r="L39" s="258"/>
      <c r="M39" s="256"/>
      <c r="N39" s="337"/>
      <c r="O39" s="258"/>
      <c r="P39" s="258"/>
      <c r="Q39" s="258"/>
      <c r="R39" s="258"/>
      <c r="S39" s="258"/>
      <c r="T39" s="258"/>
      <c r="U39" s="258"/>
    </row>
    <row r="40" spans="1:21" ht="29.25" customHeight="1">
      <c r="A40" s="256"/>
      <c r="B40" s="256"/>
      <c r="C40" s="335"/>
      <c r="D40" s="335"/>
      <c r="E40" s="256"/>
      <c r="F40" s="256"/>
      <c r="G40" s="256"/>
      <c r="H40" s="261"/>
      <c r="I40" s="281"/>
      <c r="J40" s="256"/>
      <c r="K40" s="256"/>
      <c r="L40" s="258"/>
      <c r="M40" s="256"/>
      <c r="N40" s="337"/>
      <c r="O40" s="258"/>
      <c r="P40" s="258"/>
      <c r="Q40" s="258"/>
      <c r="R40" s="258"/>
      <c r="S40" s="258"/>
      <c r="T40" s="258"/>
      <c r="U40" s="258"/>
    </row>
    <row r="41" spans="1:21" ht="29.25" customHeight="1">
      <c r="A41" s="256"/>
      <c r="B41" s="256"/>
      <c r="C41" s="335"/>
      <c r="D41" s="335"/>
      <c r="E41" s="256"/>
      <c r="F41" s="256"/>
      <c r="G41" s="256"/>
      <c r="H41" s="261"/>
      <c r="I41" s="281"/>
      <c r="J41" s="256"/>
      <c r="K41" s="256"/>
      <c r="L41" s="258"/>
      <c r="M41" s="256"/>
      <c r="N41" s="337"/>
      <c r="O41" s="258"/>
      <c r="P41" s="258"/>
      <c r="Q41" s="258"/>
      <c r="R41" s="258"/>
      <c r="S41" s="258"/>
      <c r="T41" s="258"/>
      <c r="U41" s="258"/>
    </row>
    <row r="42" spans="1:21" ht="29.25" customHeight="1">
      <c r="A42" s="256"/>
      <c r="B42" s="256"/>
      <c r="C42" s="335"/>
      <c r="D42" s="335"/>
      <c r="E42" s="256"/>
      <c r="F42" s="256"/>
      <c r="G42" s="256"/>
      <c r="H42" s="261"/>
      <c r="I42" s="281"/>
      <c r="J42" s="256"/>
      <c r="K42" s="256"/>
      <c r="L42" s="258"/>
      <c r="M42" s="256"/>
      <c r="N42" s="337"/>
      <c r="O42" s="258"/>
      <c r="P42" s="258"/>
      <c r="Q42" s="258"/>
      <c r="R42" s="258"/>
      <c r="S42" s="258"/>
      <c r="T42" s="258"/>
      <c r="U42" s="258"/>
    </row>
    <row r="43" spans="1:21" ht="29.25" customHeight="1">
      <c r="A43" s="256"/>
      <c r="B43" s="256"/>
      <c r="C43" s="335"/>
      <c r="D43" s="335"/>
      <c r="E43" s="256"/>
      <c r="F43" s="256"/>
      <c r="G43" s="256"/>
      <c r="H43" s="261"/>
      <c r="I43" s="281"/>
      <c r="J43" s="256"/>
      <c r="K43" s="256"/>
      <c r="L43" s="258"/>
      <c r="M43" s="256"/>
      <c r="N43" s="337"/>
      <c r="O43" s="258"/>
      <c r="P43" s="258"/>
      <c r="Q43" s="258"/>
      <c r="R43" s="258"/>
      <c r="S43" s="258"/>
      <c r="T43" s="258"/>
      <c r="U43" s="258"/>
    </row>
    <row r="44" spans="1:21" ht="29.25" customHeight="1">
      <c r="A44" s="256"/>
      <c r="B44" s="256"/>
      <c r="C44" s="335"/>
      <c r="D44" s="335"/>
      <c r="E44" s="256"/>
      <c r="F44" s="256"/>
      <c r="G44" s="256"/>
      <c r="H44" s="261"/>
      <c r="I44" s="281"/>
      <c r="J44" s="256"/>
      <c r="K44" s="256"/>
      <c r="L44" s="258"/>
      <c r="M44" s="256"/>
      <c r="N44" s="337"/>
      <c r="O44" s="258"/>
      <c r="P44" s="258"/>
      <c r="Q44" s="258"/>
      <c r="R44" s="258"/>
      <c r="S44" s="258"/>
      <c r="T44" s="258"/>
      <c r="U44" s="258"/>
    </row>
    <row r="45" spans="1:21" ht="29.25" customHeight="1">
      <c r="A45" s="256"/>
      <c r="B45" s="256"/>
      <c r="C45" s="335"/>
      <c r="D45" s="335"/>
      <c r="E45" s="256"/>
      <c r="F45" s="256"/>
      <c r="G45" s="256"/>
      <c r="H45" s="261"/>
      <c r="I45" s="281"/>
      <c r="J45" s="256"/>
      <c r="K45" s="256"/>
      <c r="L45" s="258"/>
      <c r="M45" s="256"/>
      <c r="N45" s="337"/>
      <c r="O45" s="258"/>
      <c r="P45" s="258"/>
      <c r="Q45" s="258"/>
      <c r="R45" s="258"/>
      <c r="S45" s="258"/>
      <c r="T45" s="258"/>
      <c r="U45" s="258"/>
    </row>
    <row r="46" spans="1:21" ht="29.25" customHeight="1">
      <c r="A46" s="256"/>
      <c r="B46" s="256"/>
      <c r="C46" s="335"/>
      <c r="D46" s="335"/>
      <c r="E46" s="256"/>
      <c r="F46" s="256"/>
      <c r="G46" s="256"/>
      <c r="H46" s="261"/>
      <c r="I46" s="281"/>
      <c r="J46" s="256"/>
      <c r="K46" s="256"/>
      <c r="L46" s="258"/>
      <c r="M46" s="256"/>
      <c r="N46" s="337"/>
      <c r="O46" s="258"/>
      <c r="P46" s="258"/>
      <c r="Q46" s="258"/>
      <c r="R46" s="258"/>
      <c r="S46" s="258"/>
      <c r="T46" s="258"/>
      <c r="U46" s="258"/>
    </row>
    <row r="47" spans="1:21" ht="29.25" customHeight="1">
      <c r="A47" s="256"/>
      <c r="B47" s="256"/>
      <c r="C47" s="335"/>
      <c r="D47" s="335"/>
      <c r="E47" s="256"/>
      <c r="F47" s="256"/>
      <c r="G47" s="256"/>
      <c r="H47" s="261"/>
      <c r="I47" s="281"/>
      <c r="J47" s="256"/>
      <c r="K47" s="256"/>
      <c r="L47" s="258"/>
      <c r="M47" s="256"/>
      <c r="N47" s="337"/>
      <c r="O47" s="258"/>
      <c r="P47" s="258"/>
      <c r="Q47" s="258"/>
      <c r="R47" s="258"/>
      <c r="S47" s="258"/>
      <c r="T47" s="258"/>
      <c r="U47" s="258"/>
    </row>
    <row r="48" spans="1:21" ht="29.25" customHeight="1">
      <c r="A48" s="256"/>
      <c r="B48" s="256"/>
      <c r="C48" s="335"/>
      <c r="D48" s="335"/>
      <c r="E48" s="256"/>
      <c r="F48" s="256"/>
      <c r="G48" s="256"/>
      <c r="H48" s="261"/>
      <c r="I48" s="281"/>
      <c r="J48" s="256"/>
      <c r="K48" s="256"/>
      <c r="L48" s="258"/>
      <c r="M48" s="256"/>
      <c r="N48" s="337"/>
      <c r="O48" s="258"/>
      <c r="P48" s="258"/>
      <c r="Q48" s="258"/>
      <c r="R48" s="258"/>
      <c r="S48" s="258"/>
      <c r="T48" s="258"/>
      <c r="U48" s="258"/>
    </row>
    <row r="49" spans="1:21" ht="29.25" customHeight="1">
      <c r="A49" s="256"/>
      <c r="B49" s="256"/>
      <c r="C49" s="335"/>
      <c r="D49" s="335"/>
      <c r="E49" s="256"/>
      <c r="F49" s="256"/>
      <c r="G49" s="256"/>
      <c r="H49" s="261"/>
      <c r="I49" s="281"/>
      <c r="J49" s="256"/>
      <c r="K49" s="256"/>
      <c r="L49" s="258"/>
      <c r="M49" s="256"/>
      <c r="N49" s="337"/>
      <c r="O49" s="258"/>
      <c r="P49" s="258"/>
      <c r="Q49" s="258"/>
      <c r="R49" s="258"/>
      <c r="S49" s="258"/>
      <c r="T49" s="258"/>
      <c r="U49" s="258"/>
    </row>
    <row r="50" spans="1:21" ht="29.25" customHeight="1">
      <c r="A50" s="256"/>
      <c r="B50" s="256"/>
      <c r="C50" s="335"/>
      <c r="D50" s="335"/>
      <c r="E50" s="256"/>
      <c r="F50" s="256"/>
      <c r="G50" s="256"/>
      <c r="H50" s="261"/>
      <c r="I50" s="281"/>
      <c r="J50" s="256"/>
      <c r="K50" s="256"/>
      <c r="L50" s="258"/>
      <c r="M50" s="256"/>
      <c r="N50" s="337"/>
      <c r="O50" s="258"/>
      <c r="P50" s="258"/>
      <c r="Q50" s="258"/>
      <c r="R50" s="258"/>
      <c r="S50" s="258"/>
      <c r="T50" s="258"/>
      <c r="U50" s="258"/>
    </row>
    <row r="51" spans="1:21" ht="29.25" customHeight="1">
      <c r="A51" s="256"/>
      <c r="B51" s="256"/>
      <c r="C51" s="335"/>
      <c r="D51" s="335"/>
      <c r="E51" s="256"/>
      <c r="F51" s="256"/>
      <c r="G51" s="256"/>
      <c r="H51" s="261"/>
      <c r="I51" s="281"/>
      <c r="J51" s="256"/>
      <c r="K51" s="256"/>
      <c r="L51" s="258"/>
      <c r="M51" s="256"/>
      <c r="N51" s="337"/>
      <c r="O51" s="258"/>
      <c r="P51" s="258"/>
      <c r="Q51" s="258"/>
      <c r="R51" s="258"/>
      <c r="S51" s="258"/>
      <c r="T51" s="258"/>
      <c r="U51" s="258"/>
    </row>
    <row r="52" spans="1:21" ht="29.25" customHeight="1">
      <c r="A52" s="256"/>
      <c r="B52" s="256"/>
      <c r="C52" s="335"/>
      <c r="D52" s="335"/>
      <c r="E52" s="256"/>
      <c r="F52" s="256"/>
      <c r="G52" s="256"/>
      <c r="H52" s="261"/>
      <c r="I52" s="281"/>
      <c r="J52" s="256"/>
      <c r="K52" s="256"/>
      <c r="L52" s="258"/>
      <c r="M52" s="256"/>
      <c r="N52" s="337"/>
      <c r="O52" s="258"/>
      <c r="P52" s="258"/>
      <c r="Q52" s="258"/>
      <c r="R52" s="258"/>
      <c r="S52" s="258"/>
      <c r="T52" s="258"/>
      <c r="U52" s="258"/>
    </row>
    <row r="53" spans="1:21" ht="29.25" customHeight="1">
      <c r="A53" s="256"/>
      <c r="B53" s="256"/>
      <c r="C53" s="335"/>
      <c r="D53" s="335"/>
      <c r="E53" s="256"/>
      <c r="F53" s="256"/>
      <c r="G53" s="256"/>
      <c r="H53" s="261"/>
      <c r="I53" s="281"/>
      <c r="J53" s="256"/>
      <c r="K53" s="256"/>
      <c r="L53" s="258"/>
      <c r="M53" s="256"/>
      <c r="N53" s="337"/>
      <c r="O53" s="258"/>
      <c r="P53" s="258"/>
      <c r="Q53" s="258"/>
      <c r="R53" s="258"/>
      <c r="S53" s="258"/>
      <c r="T53" s="258"/>
      <c r="U53" s="258"/>
    </row>
    <row r="54" spans="1:21" ht="29.25" customHeight="1">
      <c r="A54" s="256"/>
      <c r="B54" s="256"/>
      <c r="C54" s="335"/>
      <c r="D54" s="335"/>
      <c r="E54" s="256"/>
      <c r="F54" s="256"/>
      <c r="G54" s="256"/>
      <c r="H54" s="261"/>
      <c r="I54" s="281"/>
      <c r="J54" s="256"/>
      <c r="K54" s="256"/>
      <c r="L54" s="258"/>
      <c r="M54" s="256"/>
      <c r="N54" s="337"/>
      <c r="O54" s="258"/>
      <c r="P54" s="258"/>
      <c r="Q54" s="258"/>
      <c r="R54" s="258"/>
      <c r="S54" s="258"/>
      <c r="T54" s="258"/>
      <c r="U54" s="258"/>
    </row>
    <row r="55" spans="1:21" ht="29.25" customHeight="1">
      <c r="A55" s="256"/>
      <c r="B55" s="256"/>
      <c r="C55" s="335"/>
      <c r="D55" s="335"/>
      <c r="E55" s="256"/>
      <c r="F55" s="256"/>
      <c r="G55" s="256"/>
      <c r="H55" s="261"/>
      <c r="I55" s="281"/>
      <c r="J55" s="256"/>
      <c r="K55" s="256"/>
      <c r="L55" s="258"/>
      <c r="M55" s="256"/>
      <c r="N55" s="337"/>
      <c r="O55" s="258"/>
      <c r="P55" s="258"/>
      <c r="Q55" s="258"/>
      <c r="R55" s="258"/>
      <c r="S55" s="258"/>
      <c r="T55" s="258"/>
      <c r="U55" s="258"/>
    </row>
    <row r="56" spans="1:21" ht="29.25" customHeight="1">
      <c r="A56" s="256"/>
      <c r="B56" s="256"/>
      <c r="C56" s="335"/>
      <c r="D56" s="335"/>
      <c r="E56" s="256"/>
      <c r="F56" s="256"/>
      <c r="G56" s="256"/>
      <c r="H56" s="261"/>
      <c r="I56" s="281"/>
      <c r="J56" s="256"/>
      <c r="K56" s="256"/>
      <c r="L56" s="258"/>
      <c r="M56" s="256"/>
      <c r="N56" s="337"/>
      <c r="O56" s="258"/>
      <c r="P56" s="258"/>
      <c r="Q56" s="258"/>
      <c r="R56" s="258"/>
      <c r="S56" s="258"/>
      <c r="T56" s="258"/>
      <c r="U56" s="258"/>
    </row>
    <row r="57" spans="1:21" ht="29.25" customHeight="1">
      <c r="A57" s="256"/>
      <c r="B57" s="256"/>
      <c r="C57" s="335"/>
      <c r="D57" s="335"/>
      <c r="E57" s="256"/>
      <c r="F57" s="256"/>
      <c r="G57" s="256"/>
      <c r="H57" s="261"/>
      <c r="I57" s="281"/>
      <c r="J57" s="256"/>
      <c r="K57" s="256"/>
      <c r="L57" s="258"/>
      <c r="M57" s="256"/>
      <c r="N57" s="337"/>
      <c r="O57" s="258"/>
      <c r="P57" s="258"/>
      <c r="Q57" s="258"/>
      <c r="R57" s="258"/>
      <c r="S57" s="258"/>
      <c r="T57" s="258"/>
      <c r="U57" s="258"/>
    </row>
    <row r="58" spans="1:21" ht="29.25" customHeight="1">
      <c r="A58" s="256"/>
      <c r="B58" s="256"/>
      <c r="C58" s="335"/>
      <c r="D58" s="335"/>
      <c r="E58" s="256"/>
      <c r="F58" s="256"/>
      <c r="G58" s="256"/>
      <c r="H58" s="261"/>
      <c r="I58" s="281"/>
      <c r="J58" s="256"/>
      <c r="K58" s="256"/>
      <c r="L58" s="258"/>
      <c r="M58" s="256"/>
      <c r="N58" s="337"/>
      <c r="O58" s="258"/>
      <c r="P58" s="258"/>
      <c r="Q58" s="258"/>
      <c r="R58" s="258"/>
      <c r="S58" s="258"/>
      <c r="T58" s="258"/>
      <c r="U58" s="258"/>
    </row>
    <row r="59" spans="1:21" ht="29.25" customHeight="1">
      <c r="A59" s="256"/>
      <c r="B59" s="256"/>
      <c r="C59" s="335"/>
      <c r="D59" s="335"/>
      <c r="E59" s="256"/>
      <c r="F59" s="256"/>
      <c r="G59" s="256"/>
      <c r="H59" s="261"/>
      <c r="I59" s="281"/>
      <c r="J59" s="256"/>
      <c r="K59" s="256"/>
      <c r="L59" s="258"/>
      <c r="M59" s="256"/>
      <c r="N59" s="337"/>
      <c r="O59" s="258"/>
      <c r="P59" s="258"/>
      <c r="Q59" s="258"/>
      <c r="R59" s="258"/>
      <c r="S59" s="258"/>
      <c r="T59" s="258"/>
      <c r="U59" s="258"/>
    </row>
    <row r="60" spans="1:21" ht="29.25" customHeight="1">
      <c r="A60" s="256"/>
      <c r="B60" s="256"/>
      <c r="C60" s="335"/>
      <c r="D60" s="335"/>
      <c r="E60" s="256"/>
      <c r="F60" s="256"/>
      <c r="G60" s="256"/>
      <c r="H60" s="261"/>
      <c r="I60" s="281"/>
      <c r="J60" s="256"/>
      <c r="K60" s="256"/>
      <c r="L60" s="258"/>
      <c r="M60" s="256"/>
      <c r="N60" s="337"/>
      <c r="O60" s="258"/>
      <c r="P60" s="258"/>
      <c r="Q60" s="258"/>
      <c r="R60" s="258"/>
      <c r="S60" s="258"/>
      <c r="T60" s="258"/>
      <c r="U60" s="258"/>
    </row>
    <row r="61" spans="1:21" ht="29.25" customHeight="1">
      <c r="A61" s="256"/>
      <c r="B61" s="256"/>
      <c r="C61" s="335"/>
      <c r="D61" s="335"/>
      <c r="E61" s="256"/>
      <c r="F61" s="256"/>
      <c r="G61" s="256"/>
      <c r="H61" s="261"/>
      <c r="I61" s="281"/>
      <c r="J61" s="256"/>
      <c r="K61" s="256"/>
      <c r="L61" s="258"/>
      <c r="M61" s="256"/>
      <c r="N61" s="337"/>
      <c r="O61" s="258"/>
      <c r="P61" s="258"/>
      <c r="Q61" s="258"/>
      <c r="R61" s="258"/>
      <c r="S61" s="258"/>
      <c r="T61" s="258"/>
      <c r="U61" s="258"/>
    </row>
    <row r="62" spans="1:21" ht="29.25" customHeight="1">
      <c r="A62" s="256"/>
      <c r="B62" s="256"/>
      <c r="C62" s="335"/>
      <c r="D62" s="335"/>
      <c r="E62" s="256"/>
      <c r="F62" s="256"/>
      <c r="G62" s="256"/>
      <c r="H62" s="261"/>
      <c r="I62" s="281"/>
      <c r="J62" s="256"/>
      <c r="K62" s="256"/>
      <c r="L62" s="258"/>
      <c r="M62" s="256"/>
      <c r="N62" s="337"/>
      <c r="O62" s="258"/>
      <c r="P62" s="258"/>
      <c r="Q62" s="258"/>
      <c r="R62" s="258"/>
      <c r="S62" s="258"/>
      <c r="T62" s="258"/>
      <c r="U62" s="258"/>
    </row>
    <row r="63" spans="1:21" ht="29.25" customHeight="1">
      <c r="A63" s="256"/>
      <c r="B63" s="256"/>
      <c r="C63" s="335"/>
      <c r="D63" s="335"/>
      <c r="E63" s="256"/>
      <c r="F63" s="256"/>
      <c r="G63" s="256"/>
      <c r="H63" s="261"/>
      <c r="I63" s="281"/>
      <c r="J63" s="256"/>
      <c r="K63" s="256"/>
      <c r="L63" s="258"/>
      <c r="M63" s="256"/>
      <c r="N63" s="337"/>
      <c r="O63" s="258"/>
      <c r="P63" s="258"/>
      <c r="Q63" s="258"/>
      <c r="R63" s="258"/>
      <c r="S63" s="258"/>
      <c r="T63" s="258"/>
      <c r="U63" s="258"/>
    </row>
    <row r="64" spans="1:21" ht="29.25" customHeight="1">
      <c r="A64" s="256"/>
      <c r="B64" s="256"/>
      <c r="C64" s="335"/>
      <c r="D64" s="335"/>
      <c r="E64" s="256"/>
      <c r="F64" s="256"/>
      <c r="G64" s="256"/>
      <c r="H64" s="261"/>
      <c r="I64" s="281"/>
      <c r="J64" s="256"/>
      <c r="K64" s="256"/>
      <c r="L64" s="258"/>
      <c r="M64" s="256"/>
      <c r="N64" s="337"/>
      <c r="O64" s="258"/>
      <c r="P64" s="258"/>
      <c r="Q64" s="258"/>
      <c r="R64" s="258"/>
      <c r="S64" s="258"/>
      <c r="T64" s="258"/>
      <c r="U64" s="258"/>
    </row>
    <row r="65" spans="1:21" ht="29.25" customHeight="1">
      <c r="A65" s="256"/>
      <c r="B65" s="256"/>
      <c r="C65" s="335"/>
      <c r="D65" s="335"/>
      <c r="E65" s="256"/>
      <c r="F65" s="256"/>
      <c r="G65" s="256"/>
      <c r="H65" s="261"/>
      <c r="I65" s="281"/>
      <c r="J65" s="256"/>
      <c r="K65" s="256"/>
      <c r="L65" s="258"/>
      <c r="M65" s="256"/>
      <c r="N65" s="337"/>
      <c r="O65" s="258"/>
      <c r="P65" s="258"/>
      <c r="Q65" s="258"/>
      <c r="R65" s="258"/>
      <c r="S65" s="258"/>
      <c r="T65" s="258"/>
      <c r="U65" s="258"/>
    </row>
    <row r="66" spans="1:21" ht="29.25" customHeight="1">
      <c r="A66" s="256"/>
      <c r="B66" s="256"/>
      <c r="C66" s="335"/>
      <c r="D66" s="335"/>
      <c r="E66" s="256"/>
      <c r="F66" s="256"/>
      <c r="G66" s="256"/>
      <c r="H66" s="261"/>
      <c r="I66" s="281"/>
      <c r="J66" s="256"/>
      <c r="K66" s="256"/>
      <c r="L66" s="258"/>
      <c r="M66" s="256"/>
      <c r="N66" s="337"/>
      <c r="O66" s="258"/>
      <c r="P66" s="258"/>
      <c r="Q66" s="258"/>
      <c r="R66" s="258"/>
      <c r="S66" s="258"/>
      <c r="T66" s="258"/>
      <c r="U66" s="258"/>
    </row>
    <row r="67" spans="1:21" ht="29.25" customHeight="1">
      <c r="A67" s="256"/>
      <c r="B67" s="256"/>
      <c r="C67" s="335"/>
      <c r="D67" s="335"/>
      <c r="E67" s="256"/>
      <c r="F67" s="256"/>
      <c r="G67" s="256"/>
      <c r="H67" s="261"/>
      <c r="I67" s="281"/>
      <c r="J67" s="256"/>
      <c r="K67" s="256"/>
      <c r="L67" s="258"/>
      <c r="M67" s="256"/>
      <c r="N67" s="337"/>
      <c r="O67" s="258"/>
      <c r="P67" s="258"/>
      <c r="Q67" s="258"/>
      <c r="R67" s="258"/>
      <c r="S67" s="258"/>
      <c r="T67" s="258"/>
      <c r="U67" s="258"/>
    </row>
    <row r="68" spans="1:21" ht="29.25" customHeight="1">
      <c r="A68" s="256"/>
      <c r="B68" s="256"/>
      <c r="C68" s="335"/>
      <c r="D68" s="335"/>
      <c r="E68" s="256"/>
      <c r="F68" s="256"/>
      <c r="G68" s="256"/>
      <c r="H68" s="261"/>
      <c r="I68" s="281"/>
      <c r="J68" s="256"/>
      <c r="K68" s="256"/>
      <c r="L68" s="258"/>
      <c r="M68" s="256"/>
      <c r="N68" s="337"/>
      <c r="O68" s="258"/>
      <c r="P68" s="258"/>
      <c r="Q68" s="258"/>
      <c r="R68" s="258"/>
      <c r="S68" s="258"/>
      <c r="T68" s="258"/>
      <c r="U68" s="258"/>
    </row>
    <row r="69" spans="1:21" ht="29.25" customHeight="1">
      <c r="A69" s="256"/>
      <c r="B69" s="256"/>
      <c r="C69" s="335"/>
      <c r="D69" s="335"/>
      <c r="E69" s="256"/>
      <c r="F69" s="256"/>
      <c r="G69" s="256"/>
      <c r="H69" s="261"/>
      <c r="I69" s="281"/>
      <c r="J69" s="256"/>
      <c r="K69" s="256"/>
      <c r="L69" s="258"/>
      <c r="M69" s="256"/>
      <c r="N69" s="337"/>
      <c r="O69" s="258"/>
      <c r="P69" s="258"/>
      <c r="Q69" s="258"/>
      <c r="R69" s="258"/>
      <c r="S69" s="258"/>
      <c r="T69" s="258"/>
      <c r="U69" s="258"/>
    </row>
    <row r="70" spans="1:21" ht="29.25" customHeight="1">
      <c r="A70" s="256"/>
      <c r="B70" s="256"/>
      <c r="C70" s="335"/>
      <c r="D70" s="335"/>
      <c r="E70" s="256"/>
      <c r="F70" s="256"/>
      <c r="G70" s="256"/>
      <c r="H70" s="261"/>
      <c r="I70" s="281"/>
      <c r="J70" s="256"/>
      <c r="K70" s="256"/>
      <c r="L70" s="258"/>
      <c r="M70" s="256"/>
      <c r="N70" s="337"/>
      <c r="O70" s="258"/>
      <c r="P70" s="258"/>
      <c r="Q70" s="258"/>
      <c r="R70" s="258"/>
      <c r="S70" s="258"/>
      <c r="T70" s="258"/>
      <c r="U70" s="258"/>
    </row>
    <row r="71" spans="1:21" ht="29.25" customHeight="1">
      <c r="A71" s="256"/>
      <c r="B71" s="256"/>
      <c r="C71" s="335"/>
      <c r="D71" s="335"/>
      <c r="E71" s="256"/>
      <c r="F71" s="256"/>
      <c r="G71" s="256"/>
      <c r="H71" s="261"/>
      <c r="I71" s="281"/>
      <c r="J71" s="256"/>
      <c r="K71" s="256"/>
      <c r="L71" s="258"/>
      <c r="M71" s="256"/>
      <c r="N71" s="337"/>
      <c r="O71" s="258"/>
      <c r="P71" s="258"/>
      <c r="Q71" s="258"/>
      <c r="R71" s="258"/>
      <c r="S71" s="258"/>
      <c r="T71" s="258"/>
      <c r="U71" s="258"/>
    </row>
    <row r="72" spans="1:21" ht="29.25" customHeight="1">
      <c r="A72" s="256"/>
      <c r="B72" s="256"/>
      <c r="C72" s="335"/>
      <c r="D72" s="335"/>
      <c r="E72" s="256"/>
      <c r="F72" s="256"/>
      <c r="G72" s="256"/>
      <c r="H72" s="261"/>
      <c r="I72" s="281"/>
      <c r="J72" s="256"/>
      <c r="K72" s="256"/>
      <c r="L72" s="258"/>
      <c r="M72" s="256"/>
      <c r="N72" s="337"/>
      <c r="O72" s="258"/>
      <c r="P72" s="258"/>
      <c r="Q72" s="258"/>
      <c r="R72" s="258"/>
      <c r="S72" s="258"/>
      <c r="T72" s="258"/>
      <c r="U72" s="258"/>
    </row>
    <row r="73" spans="1:21" ht="29.25" customHeight="1">
      <c r="A73" s="256"/>
      <c r="B73" s="256"/>
      <c r="C73" s="335"/>
      <c r="D73" s="335"/>
      <c r="E73" s="256"/>
      <c r="F73" s="256"/>
      <c r="G73" s="256"/>
      <c r="H73" s="261"/>
      <c r="I73" s="281"/>
      <c r="J73" s="256"/>
      <c r="K73" s="256"/>
      <c r="L73" s="258"/>
      <c r="M73" s="256"/>
      <c r="N73" s="337"/>
      <c r="O73" s="258"/>
      <c r="P73" s="258"/>
      <c r="Q73" s="258"/>
      <c r="R73" s="258"/>
      <c r="S73" s="258"/>
      <c r="T73" s="258"/>
      <c r="U73" s="258"/>
    </row>
    <row r="74" spans="1:21" ht="29.25" customHeight="1">
      <c r="A74" s="256"/>
      <c r="B74" s="256"/>
      <c r="C74" s="335"/>
      <c r="D74" s="335"/>
      <c r="E74" s="256"/>
      <c r="F74" s="256"/>
      <c r="G74" s="256"/>
      <c r="H74" s="261"/>
      <c r="I74" s="281"/>
      <c r="J74" s="256"/>
      <c r="K74" s="256"/>
      <c r="L74" s="258"/>
      <c r="M74" s="256"/>
      <c r="N74" s="337"/>
      <c r="O74" s="258"/>
      <c r="P74" s="258"/>
      <c r="Q74" s="258"/>
      <c r="R74" s="258"/>
      <c r="S74" s="258"/>
      <c r="T74" s="258"/>
      <c r="U74" s="258"/>
    </row>
    <row r="75" spans="1:21" ht="29.25" customHeight="1">
      <c r="A75" s="256"/>
      <c r="B75" s="256"/>
      <c r="C75" s="335"/>
      <c r="D75" s="335"/>
      <c r="E75" s="256"/>
      <c r="F75" s="256"/>
      <c r="G75" s="256"/>
      <c r="H75" s="261"/>
      <c r="I75" s="281"/>
      <c r="J75" s="256"/>
      <c r="K75" s="256"/>
      <c r="L75" s="258"/>
      <c r="M75" s="256"/>
      <c r="N75" s="337"/>
      <c r="O75" s="258"/>
      <c r="P75" s="258"/>
      <c r="Q75" s="258"/>
      <c r="R75" s="258"/>
      <c r="S75" s="258"/>
      <c r="T75" s="258"/>
      <c r="U75" s="258"/>
    </row>
    <row r="76" spans="1:21" ht="29.25" customHeight="1">
      <c r="A76" s="256"/>
      <c r="B76" s="256"/>
      <c r="C76" s="335"/>
      <c r="D76" s="335"/>
      <c r="E76" s="256"/>
      <c r="F76" s="256"/>
      <c r="G76" s="256"/>
      <c r="H76" s="261"/>
      <c r="I76" s="281"/>
      <c r="J76" s="256"/>
      <c r="K76" s="256"/>
      <c r="L76" s="258"/>
      <c r="M76" s="256"/>
      <c r="N76" s="337"/>
      <c r="O76" s="258"/>
      <c r="P76" s="258"/>
      <c r="Q76" s="258"/>
      <c r="R76" s="258"/>
      <c r="S76" s="258"/>
      <c r="T76" s="258"/>
      <c r="U76" s="258"/>
    </row>
    <row r="77" spans="1:21" ht="29.25" customHeight="1">
      <c r="A77" s="256"/>
      <c r="B77" s="256"/>
      <c r="C77" s="335"/>
      <c r="D77" s="335"/>
      <c r="E77" s="256"/>
      <c r="F77" s="256"/>
      <c r="G77" s="256"/>
      <c r="H77" s="261"/>
      <c r="I77" s="281"/>
      <c r="J77" s="256"/>
      <c r="K77" s="256"/>
      <c r="L77" s="258"/>
      <c r="M77" s="256"/>
      <c r="N77" s="337"/>
      <c r="O77" s="258"/>
      <c r="P77" s="258"/>
      <c r="Q77" s="258"/>
      <c r="R77" s="258"/>
      <c r="S77" s="258"/>
      <c r="T77" s="258"/>
      <c r="U77" s="258"/>
    </row>
    <row r="78" spans="1:21" ht="29.25" customHeight="1">
      <c r="A78" s="256"/>
      <c r="B78" s="256"/>
      <c r="C78" s="335"/>
      <c r="D78" s="335"/>
      <c r="E78" s="256"/>
      <c r="F78" s="256"/>
      <c r="G78" s="256"/>
      <c r="H78" s="261"/>
      <c r="I78" s="281"/>
      <c r="J78" s="256"/>
      <c r="K78" s="256"/>
      <c r="L78" s="258"/>
      <c r="M78" s="256"/>
      <c r="N78" s="337"/>
      <c r="O78" s="258"/>
      <c r="P78" s="258"/>
      <c r="Q78" s="258"/>
      <c r="R78" s="258"/>
      <c r="S78" s="258"/>
      <c r="T78" s="258"/>
      <c r="U78" s="258"/>
    </row>
    <row r="79" spans="1:21" ht="29.25" customHeight="1">
      <c r="A79" s="256"/>
      <c r="B79" s="256"/>
      <c r="C79" s="335"/>
      <c r="D79" s="335"/>
      <c r="E79" s="256"/>
      <c r="F79" s="256"/>
      <c r="G79" s="256"/>
      <c r="H79" s="261"/>
      <c r="I79" s="281"/>
      <c r="J79" s="256"/>
      <c r="K79" s="256"/>
      <c r="L79" s="258"/>
      <c r="M79" s="256"/>
      <c r="N79" s="337"/>
      <c r="O79" s="258"/>
      <c r="P79" s="258"/>
      <c r="Q79" s="258"/>
      <c r="R79" s="258"/>
      <c r="S79" s="258"/>
      <c r="T79" s="258"/>
      <c r="U79" s="258"/>
    </row>
    <row r="80" spans="1:21" ht="29.25" customHeight="1">
      <c r="A80" s="256"/>
      <c r="B80" s="256"/>
      <c r="C80" s="335"/>
      <c r="D80" s="335"/>
      <c r="E80" s="256"/>
      <c r="F80" s="256"/>
      <c r="G80" s="256"/>
      <c r="H80" s="261"/>
      <c r="I80" s="281"/>
      <c r="J80" s="256"/>
      <c r="K80" s="256"/>
      <c r="L80" s="258"/>
      <c r="M80" s="256"/>
      <c r="N80" s="337"/>
      <c r="O80" s="258"/>
      <c r="P80" s="258"/>
      <c r="Q80" s="258"/>
      <c r="R80" s="258"/>
      <c r="S80" s="258"/>
      <c r="T80" s="258"/>
      <c r="U80" s="258"/>
    </row>
    <row r="81" spans="1:21" ht="29.25" customHeight="1">
      <c r="A81" s="256"/>
      <c r="B81" s="256"/>
      <c r="C81" s="335"/>
      <c r="D81" s="335"/>
      <c r="E81" s="256"/>
      <c r="F81" s="256"/>
      <c r="G81" s="256"/>
      <c r="H81" s="261"/>
      <c r="I81" s="281"/>
      <c r="J81" s="256"/>
      <c r="K81" s="256"/>
      <c r="L81" s="258"/>
      <c r="M81" s="256"/>
      <c r="N81" s="337"/>
      <c r="O81" s="258"/>
      <c r="P81" s="258"/>
      <c r="Q81" s="258"/>
      <c r="R81" s="258"/>
      <c r="S81" s="258"/>
      <c r="T81" s="258"/>
      <c r="U81" s="258"/>
    </row>
    <row r="82" spans="1:21" ht="29.25" customHeight="1">
      <c r="A82" s="256"/>
      <c r="B82" s="256"/>
      <c r="C82" s="335"/>
      <c r="D82" s="335"/>
      <c r="E82" s="256"/>
      <c r="F82" s="256"/>
      <c r="G82" s="256"/>
      <c r="H82" s="261"/>
      <c r="I82" s="281"/>
      <c r="J82" s="256"/>
      <c r="K82" s="256"/>
      <c r="L82" s="258"/>
      <c r="M82" s="256"/>
      <c r="N82" s="337"/>
      <c r="O82" s="258"/>
      <c r="P82" s="258"/>
      <c r="Q82" s="258"/>
      <c r="R82" s="258"/>
      <c r="S82" s="258"/>
      <c r="T82" s="258"/>
      <c r="U82" s="258"/>
    </row>
    <row r="83" spans="1:21" ht="29.25" customHeight="1">
      <c r="A83" s="256"/>
      <c r="B83" s="256"/>
      <c r="C83" s="335"/>
      <c r="D83" s="335"/>
      <c r="E83" s="256"/>
      <c r="F83" s="256"/>
      <c r="G83" s="256"/>
      <c r="H83" s="261"/>
      <c r="I83" s="281"/>
      <c r="J83" s="256"/>
      <c r="K83" s="256"/>
      <c r="L83" s="258"/>
      <c r="M83" s="256"/>
      <c r="N83" s="337"/>
      <c r="O83" s="258"/>
      <c r="P83" s="258"/>
      <c r="Q83" s="258"/>
      <c r="R83" s="258"/>
      <c r="S83" s="258"/>
      <c r="T83" s="258"/>
      <c r="U83" s="258"/>
    </row>
    <row r="84" spans="1:21" ht="29.25" customHeight="1">
      <c r="A84" s="256"/>
      <c r="B84" s="256"/>
      <c r="C84" s="335"/>
      <c r="D84" s="335"/>
      <c r="E84" s="256"/>
      <c r="F84" s="256"/>
      <c r="G84" s="256"/>
      <c r="H84" s="261"/>
      <c r="I84" s="281"/>
      <c r="J84" s="256"/>
      <c r="K84" s="256"/>
      <c r="L84" s="258"/>
      <c r="M84" s="256"/>
      <c r="N84" s="337"/>
      <c r="O84" s="258"/>
      <c r="P84" s="258"/>
      <c r="Q84" s="258"/>
      <c r="R84" s="258"/>
      <c r="S84" s="258"/>
      <c r="T84" s="258"/>
      <c r="U84" s="258"/>
    </row>
    <row r="85" spans="1:21" ht="29.25" customHeight="1">
      <c r="A85" s="256"/>
      <c r="B85" s="256"/>
      <c r="C85" s="335"/>
      <c r="D85" s="335"/>
      <c r="E85" s="256"/>
      <c r="F85" s="256"/>
      <c r="G85" s="256"/>
      <c r="H85" s="261"/>
      <c r="I85" s="281"/>
      <c r="J85" s="256"/>
      <c r="K85" s="256"/>
      <c r="L85" s="258"/>
      <c r="M85" s="256"/>
      <c r="N85" s="337"/>
      <c r="O85" s="258"/>
      <c r="P85" s="258"/>
      <c r="Q85" s="258"/>
      <c r="R85" s="258"/>
      <c r="S85" s="258"/>
      <c r="T85" s="258"/>
      <c r="U85" s="258"/>
    </row>
    <row r="86" spans="1:21" ht="29.25" customHeight="1">
      <c r="A86" s="256"/>
      <c r="B86" s="256"/>
      <c r="C86" s="335"/>
      <c r="D86" s="335"/>
      <c r="E86" s="256"/>
      <c r="F86" s="256"/>
      <c r="G86" s="256"/>
      <c r="H86" s="261"/>
      <c r="I86" s="281"/>
      <c r="J86" s="256"/>
      <c r="K86" s="256"/>
      <c r="L86" s="258"/>
      <c r="M86" s="256"/>
      <c r="N86" s="337"/>
      <c r="O86" s="258"/>
      <c r="P86" s="258"/>
      <c r="Q86" s="258"/>
      <c r="R86" s="258"/>
      <c r="S86" s="258"/>
      <c r="T86" s="258"/>
      <c r="U86" s="258"/>
    </row>
    <row r="87" spans="1:21" ht="29.25" customHeight="1">
      <c r="A87" s="256"/>
      <c r="B87" s="256"/>
      <c r="C87" s="335"/>
      <c r="D87" s="335"/>
      <c r="E87" s="256"/>
      <c r="F87" s="256"/>
      <c r="G87" s="256"/>
      <c r="H87" s="261"/>
      <c r="I87" s="281"/>
      <c r="J87" s="256"/>
      <c r="K87" s="256"/>
      <c r="L87" s="258"/>
      <c r="M87" s="256"/>
      <c r="N87" s="337"/>
      <c r="O87" s="258"/>
      <c r="P87" s="258"/>
      <c r="Q87" s="258"/>
      <c r="R87" s="258"/>
      <c r="S87" s="258"/>
      <c r="T87" s="258"/>
      <c r="U87" s="258"/>
    </row>
    <row r="88" spans="1:21" ht="29.25" customHeight="1">
      <c r="A88" s="256"/>
      <c r="B88" s="256"/>
      <c r="C88" s="335"/>
      <c r="D88" s="335"/>
      <c r="E88" s="256"/>
      <c r="F88" s="256"/>
      <c r="G88" s="256"/>
      <c r="H88" s="261"/>
      <c r="I88" s="281"/>
      <c r="J88" s="256"/>
      <c r="K88" s="256"/>
      <c r="L88" s="258"/>
      <c r="M88" s="256"/>
      <c r="N88" s="337"/>
      <c r="O88" s="258"/>
      <c r="P88" s="258"/>
      <c r="Q88" s="258"/>
      <c r="R88" s="258"/>
      <c r="S88" s="258"/>
      <c r="T88" s="258"/>
      <c r="U88" s="258"/>
    </row>
    <row r="89" spans="1:21" ht="29.25" customHeight="1">
      <c r="A89" s="256"/>
      <c r="B89" s="256"/>
      <c r="C89" s="335"/>
      <c r="D89" s="335"/>
      <c r="E89" s="256"/>
      <c r="F89" s="256"/>
      <c r="G89" s="256"/>
      <c r="H89" s="261"/>
      <c r="I89" s="281"/>
      <c r="J89" s="256"/>
      <c r="K89" s="256"/>
      <c r="L89" s="258"/>
      <c r="M89" s="256"/>
      <c r="N89" s="337"/>
      <c r="O89" s="258"/>
      <c r="P89" s="258"/>
      <c r="Q89" s="258"/>
      <c r="R89" s="258"/>
      <c r="S89" s="258"/>
      <c r="T89" s="258"/>
      <c r="U89" s="258"/>
    </row>
    <row r="90" spans="1:21" ht="29.25" customHeight="1">
      <c r="A90" s="256"/>
      <c r="B90" s="256"/>
      <c r="C90" s="335"/>
      <c r="D90" s="335"/>
      <c r="E90" s="256"/>
      <c r="F90" s="256"/>
      <c r="G90" s="256"/>
      <c r="H90" s="261"/>
      <c r="I90" s="281"/>
      <c r="J90" s="256"/>
      <c r="K90" s="256"/>
      <c r="L90" s="258"/>
      <c r="M90" s="256"/>
      <c r="N90" s="337"/>
      <c r="O90" s="258"/>
      <c r="P90" s="258"/>
      <c r="Q90" s="258"/>
      <c r="R90" s="258"/>
      <c r="S90" s="258"/>
      <c r="T90" s="258"/>
      <c r="U90" s="258"/>
    </row>
    <row r="91" spans="1:21" ht="29.25" customHeight="1">
      <c r="A91" s="256"/>
      <c r="B91" s="256"/>
      <c r="C91" s="335"/>
      <c r="D91" s="335"/>
      <c r="E91" s="256"/>
      <c r="F91" s="256"/>
      <c r="G91" s="256"/>
      <c r="H91" s="261"/>
      <c r="I91" s="281"/>
      <c r="J91" s="256"/>
      <c r="K91" s="256"/>
      <c r="L91" s="258"/>
      <c r="M91" s="256"/>
      <c r="N91" s="337"/>
      <c r="O91" s="258"/>
      <c r="P91" s="258"/>
      <c r="Q91" s="258"/>
      <c r="R91" s="258"/>
      <c r="S91" s="258"/>
      <c r="T91" s="258"/>
      <c r="U91" s="258"/>
    </row>
    <row r="92" spans="1:21" ht="29.25" customHeight="1">
      <c r="A92" s="256"/>
      <c r="B92" s="256"/>
      <c r="C92" s="335"/>
      <c r="D92" s="335"/>
      <c r="E92" s="256"/>
      <c r="F92" s="256"/>
      <c r="G92" s="256"/>
      <c r="H92" s="261"/>
      <c r="I92" s="281"/>
      <c r="J92" s="256"/>
      <c r="K92" s="256"/>
      <c r="L92" s="258"/>
      <c r="M92" s="256"/>
      <c r="N92" s="337"/>
      <c r="O92" s="258"/>
      <c r="P92" s="258"/>
      <c r="Q92" s="258"/>
      <c r="R92" s="258"/>
      <c r="S92" s="258"/>
      <c r="T92" s="258"/>
      <c r="U92" s="258"/>
    </row>
    <row r="93" spans="1:21" ht="29.25" customHeight="1">
      <c r="A93" s="256"/>
      <c r="B93" s="256"/>
      <c r="C93" s="335"/>
      <c r="D93" s="335"/>
      <c r="E93" s="256"/>
      <c r="F93" s="256"/>
      <c r="G93" s="256"/>
      <c r="H93" s="261"/>
      <c r="I93" s="281"/>
      <c r="J93" s="256"/>
      <c r="K93" s="256"/>
      <c r="L93" s="258"/>
      <c r="M93" s="256"/>
      <c r="N93" s="337"/>
      <c r="O93" s="258"/>
      <c r="P93" s="258"/>
      <c r="Q93" s="258"/>
      <c r="R93" s="258"/>
      <c r="S93" s="258"/>
      <c r="T93" s="258"/>
      <c r="U93" s="258"/>
    </row>
    <row r="94" spans="1:21" ht="29.25" customHeight="1">
      <c r="A94" s="256"/>
      <c r="B94" s="256"/>
      <c r="C94" s="335"/>
      <c r="D94" s="335"/>
      <c r="E94" s="256"/>
      <c r="F94" s="256"/>
      <c r="G94" s="256"/>
      <c r="H94" s="261"/>
      <c r="I94" s="281"/>
      <c r="J94" s="256"/>
      <c r="K94" s="256"/>
      <c r="L94" s="258"/>
      <c r="M94" s="256"/>
      <c r="N94" s="337"/>
      <c r="O94" s="258"/>
      <c r="P94" s="258"/>
      <c r="Q94" s="258"/>
      <c r="R94" s="258"/>
      <c r="S94" s="258"/>
      <c r="T94" s="258"/>
      <c r="U94" s="258"/>
    </row>
    <row r="95" spans="1:21" ht="29.25" customHeight="1">
      <c r="A95" s="256"/>
      <c r="B95" s="256"/>
      <c r="C95" s="335"/>
      <c r="D95" s="335"/>
      <c r="E95" s="256"/>
      <c r="F95" s="256"/>
      <c r="G95" s="256"/>
      <c r="H95" s="261"/>
      <c r="I95" s="281"/>
      <c r="J95" s="256"/>
      <c r="K95" s="256"/>
      <c r="L95" s="258"/>
      <c r="M95" s="256"/>
      <c r="N95" s="337"/>
      <c r="O95" s="258"/>
      <c r="P95" s="258"/>
      <c r="Q95" s="258"/>
      <c r="R95" s="258"/>
      <c r="S95" s="258"/>
      <c r="T95" s="258"/>
      <c r="U95" s="258"/>
    </row>
    <row r="96" spans="1:21" ht="29.25" customHeight="1">
      <c r="A96" s="256"/>
      <c r="B96" s="256"/>
      <c r="C96" s="335"/>
      <c r="D96" s="335"/>
      <c r="E96" s="256"/>
      <c r="F96" s="256"/>
      <c r="G96" s="256"/>
      <c r="H96" s="261"/>
      <c r="I96" s="281"/>
      <c r="J96" s="256"/>
      <c r="K96" s="256"/>
      <c r="L96" s="258"/>
      <c r="M96" s="256"/>
      <c r="N96" s="337"/>
      <c r="O96" s="258"/>
      <c r="P96" s="258"/>
      <c r="Q96" s="258"/>
      <c r="R96" s="258"/>
      <c r="S96" s="258"/>
      <c r="T96" s="258"/>
      <c r="U96" s="258"/>
    </row>
    <row r="97" spans="1:21" ht="29.25" customHeight="1">
      <c r="A97" s="256"/>
      <c r="B97" s="256"/>
      <c r="C97" s="335"/>
      <c r="D97" s="335"/>
      <c r="E97" s="256"/>
      <c r="F97" s="256"/>
      <c r="G97" s="256"/>
      <c r="H97" s="261"/>
      <c r="I97" s="281"/>
      <c r="J97" s="256"/>
      <c r="K97" s="256"/>
      <c r="L97" s="258"/>
      <c r="M97" s="256"/>
      <c r="N97" s="337"/>
      <c r="O97" s="258"/>
      <c r="P97" s="258"/>
      <c r="Q97" s="258"/>
      <c r="R97" s="258"/>
      <c r="S97" s="258"/>
      <c r="T97" s="258"/>
      <c r="U97" s="258"/>
    </row>
    <row r="98" spans="1:21" ht="29.25" customHeight="1">
      <c r="A98" s="256"/>
      <c r="B98" s="256"/>
      <c r="C98" s="335"/>
      <c r="D98" s="335"/>
      <c r="E98" s="256"/>
      <c r="F98" s="256"/>
      <c r="G98" s="256"/>
      <c r="H98" s="261"/>
      <c r="I98" s="281"/>
      <c r="J98" s="256"/>
      <c r="K98" s="256"/>
      <c r="L98" s="258"/>
      <c r="M98" s="256"/>
      <c r="N98" s="337"/>
      <c r="O98" s="258"/>
      <c r="P98" s="258"/>
      <c r="Q98" s="258"/>
      <c r="R98" s="258"/>
      <c r="S98" s="258"/>
      <c r="T98" s="258"/>
      <c r="U98" s="258"/>
    </row>
    <row r="99" spans="1:21" ht="29.25" customHeight="1">
      <c r="A99" s="256"/>
      <c r="B99" s="256"/>
      <c r="C99" s="335"/>
      <c r="D99" s="335"/>
      <c r="E99" s="256"/>
      <c r="F99" s="256"/>
      <c r="G99" s="256"/>
      <c r="H99" s="261"/>
      <c r="I99" s="281"/>
      <c r="J99" s="256"/>
      <c r="K99" s="256"/>
      <c r="L99" s="258"/>
      <c r="M99" s="256"/>
      <c r="N99" s="337"/>
      <c r="O99" s="258"/>
      <c r="P99" s="258"/>
      <c r="Q99" s="258"/>
      <c r="R99" s="258"/>
      <c r="S99" s="258"/>
      <c r="T99" s="258"/>
      <c r="U99" s="258"/>
    </row>
    <row r="100" spans="1:21" ht="29.25" customHeight="1">
      <c r="A100" s="256"/>
      <c r="B100" s="256"/>
      <c r="C100" s="335"/>
      <c r="D100" s="335"/>
      <c r="E100" s="256"/>
      <c r="F100" s="256"/>
      <c r="G100" s="256"/>
      <c r="H100" s="261"/>
      <c r="I100" s="281"/>
      <c r="J100" s="256"/>
      <c r="K100" s="256"/>
      <c r="L100" s="258"/>
      <c r="M100" s="256"/>
      <c r="N100" s="337"/>
      <c r="O100" s="258"/>
      <c r="P100" s="258"/>
      <c r="Q100" s="258"/>
      <c r="R100" s="258"/>
      <c r="S100" s="258"/>
      <c r="T100" s="258"/>
      <c r="U100" s="258"/>
    </row>
    <row r="101" spans="1:21" ht="29.25" customHeight="1">
      <c r="A101" s="256"/>
      <c r="B101" s="256"/>
      <c r="C101" s="335"/>
      <c r="D101" s="335"/>
      <c r="E101" s="256"/>
      <c r="F101" s="256"/>
      <c r="G101" s="256"/>
      <c r="H101" s="261"/>
      <c r="I101" s="281"/>
      <c r="J101" s="256"/>
      <c r="K101" s="256"/>
      <c r="L101" s="258"/>
      <c r="M101" s="256"/>
      <c r="N101" s="337"/>
      <c r="O101" s="258"/>
      <c r="P101" s="258"/>
      <c r="Q101" s="258"/>
      <c r="R101" s="258"/>
      <c r="S101" s="258"/>
      <c r="T101" s="258"/>
      <c r="U101" s="258"/>
    </row>
    <row r="102" spans="1:21" ht="29.25" customHeight="1">
      <c r="A102" s="256"/>
      <c r="B102" s="256"/>
      <c r="C102" s="335"/>
      <c r="D102" s="335"/>
      <c r="E102" s="256"/>
      <c r="F102" s="256"/>
      <c r="G102" s="256"/>
      <c r="H102" s="261"/>
      <c r="I102" s="281"/>
      <c r="J102" s="256"/>
      <c r="K102" s="256"/>
      <c r="L102" s="258"/>
      <c r="M102" s="256"/>
      <c r="N102" s="337"/>
      <c r="O102" s="258"/>
      <c r="P102" s="258"/>
      <c r="Q102" s="258"/>
      <c r="R102" s="258"/>
      <c r="S102" s="258"/>
      <c r="T102" s="258"/>
      <c r="U102" s="258"/>
    </row>
    <row r="103" spans="1:21" ht="29.25" customHeight="1">
      <c r="A103" s="256"/>
      <c r="B103" s="256"/>
      <c r="C103" s="335"/>
      <c r="D103" s="335"/>
      <c r="E103" s="256"/>
      <c r="F103" s="256"/>
      <c r="G103" s="256"/>
      <c r="H103" s="261"/>
      <c r="I103" s="281"/>
      <c r="J103" s="256"/>
      <c r="K103" s="256"/>
      <c r="L103" s="258"/>
      <c r="M103" s="256"/>
      <c r="N103" s="337"/>
      <c r="O103" s="258"/>
      <c r="P103" s="258"/>
      <c r="Q103" s="258"/>
      <c r="R103" s="258"/>
      <c r="S103" s="258"/>
      <c r="T103" s="258"/>
      <c r="U103" s="258"/>
    </row>
    <row r="104" spans="1:21" ht="29.25" customHeight="1">
      <c r="A104" s="256"/>
      <c r="B104" s="256"/>
      <c r="C104" s="335"/>
      <c r="D104" s="335"/>
      <c r="E104" s="256"/>
      <c r="F104" s="256"/>
      <c r="G104" s="256"/>
      <c r="H104" s="261"/>
      <c r="I104" s="281"/>
      <c r="J104" s="256"/>
      <c r="K104" s="256"/>
      <c r="L104" s="258"/>
      <c r="M104" s="256"/>
      <c r="N104" s="337"/>
      <c r="O104" s="258"/>
      <c r="P104" s="258"/>
      <c r="Q104" s="258"/>
      <c r="R104" s="258"/>
      <c r="S104" s="258"/>
      <c r="T104" s="258"/>
      <c r="U104" s="258"/>
    </row>
    <row r="105" spans="1:21" ht="29.25" customHeight="1">
      <c r="A105" s="256"/>
      <c r="B105" s="256"/>
      <c r="C105" s="335"/>
      <c r="D105" s="335"/>
      <c r="E105" s="256"/>
      <c r="F105" s="256"/>
      <c r="G105" s="256"/>
      <c r="H105" s="261"/>
      <c r="I105" s="281"/>
      <c r="J105" s="256"/>
      <c r="K105" s="256"/>
      <c r="L105" s="258"/>
      <c r="M105" s="256"/>
      <c r="N105" s="337"/>
      <c r="O105" s="258"/>
      <c r="P105" s="258"/>
      <c r="Q105" s="258"/>
      <c r="R105" s="258"/>
      <c r="S105" s="258"/>
      <c r="T105" s="258"/>
      <c r="U105" s="258"/>
    </row>
    <row r="106" spans="1:21" ht="29.25" customHeight="1">
      <c r="A106" s="256"/>
      <c r="B106" s="256"/>
      <c r="C106" s="335"/>
      <c r="D106" s="335"/>
      <c r="E106" s="256"/>
      <c r="F106" s="256"/>
      <c r="G106" s="256"/>
      <c r="H106" s="261"/>
      <c r="I106" s="281"/>
      <c r="J106" s="256"/>
      <c r="K106" s="256"/>
      <c r="L106" s="258"/>
      <c r="M106" s="256"/>
      <c r="N106" s="337"/>
      <c r="O106" s="258"/>
      <c r="P106" s="258"/>
      <c r="Q106" s="258"/>
      <c r="R106" s="258"/>
      <c r="S106" s="258"/>
      <c r="T106" s="258"/>
      <c r="U106" s="258"/>
    </row>
    <row r="107" spans="1:21" ht="29.25" customHeight="1">
      <c r="A107" s="256"/>
      <c r="B107" s="256"/>
      <c r="C107" s="335"/>
      <c r="D107" s="335"/>
      <c r="E107" s="256"/>
      <c r="F107" s="256"/>
      <c r="G107" s="256"/>
      <c r="H107" s="261"/>
      <c r="I107" s="281"/>
      <c r="J107" s="256"/>
      <c r="K107" s="256"/>
      <c r="L107" s="258"/>
      <c r="M107" s="256"/>
      <c r="N107" s="337"/>
      <c r="O107" s="258"/>
      <c r="P107" s="258"/>
      <c r="Q107" s="258"/>
      <c r="R107" s="258"/>
      <c r="S107" s="258"/>
      <c r="T107" s="258"/>
      <c r="U107" s="258"/>
    </row>
    <row r="108" spans="1:21" ht="29.25" customHeight="1">
      <c r="A108" s="256"/>
      <c r="B108" s="256"/>
      <c r="C108" s="335"/>
      <c r="D108" s="335"/>
      <c r="E108" s="256"/>
      <c r="F108" s="256"/>
      <c r="G108" s="256"/>
      <c r="H108" s="261"/>
      <c r="I108" s="281"/>
      <c r="J108" s="256"/>
      <c r="K108" s="256"/>
      <c r="L108" s="258"/>
      <c r="M108" s="256"/>
      <c r="N108" s="337"/>
      <c r="O108" s="258"/>
      <c r="P108" s="258"/>
      <c r="Q108" s="258"/>
      <c r="R108" s="258"/>
      <c r="S108" s="258"/>
      <c r="T108" s="258"/>
      <c r="U108" s="258"/>
    </row>
    <row r="109" spans="1:21" ht="29.25" customHeight="1">
      <c r="A109" s="256"/>
      <c r="B109" s="256"/>
      <c r="C109" s="335"/>
      <c r="D109" s="335"/>
      <c r="E109" s="256"/>
      <c r="F109" s="256"/>
      <c r="G109" s="256"/>
      <c r="H109" s="261"/>
      <c r="I109" s="281"/>
      <c r="J109" s="256"/>
      <c r="K109" s="256"/>
      <c r="L109" s="258"/>
      <c r="M109" s="256"/>
      <c r="N109" s="337"/>
      <c r="O109" s="258"/>
      <c r="P109" s="258"/>
      <c r="Q109" s="258"/>
      <c r="R109" s="258"/>
      <c r="S109" s="258"/>
      <c r="T109" s="258"/>
      <c r="U109" s="258"/>
    </row>
    <row r="110" spans="1:21" ht="29.25" customHeight="1">
      <c r="A110" s="256"/>
      <c r="B110" s="256"/>
      <c r="C110" s="335"/>
      <c r="D110" s="335"/>
      <c r="E110" s="256"/>
      <c r="F110" s="256"/>
      <c r="G110" s="256"/>
      <c r="H110" s="261"/>
      <c r="I110" s="281"/>
      <c r="J110" s="256"/>
      <c r="K110" s="256"/>
      <c r="L110" s="258"/>
      <c r="M110" s="256"/>
      <c r="N110" s="337"/>
      <c r="O110" s="258"/>
      <c r="P110" s="258"/>
      <c r="Q110" s="258"/>
      <c r="R110" s="258"/>
      <c r="S110" s="258"/>
      <c r="T110" s="258"/>
      <c r="U110" s="258"/>
    </row>
    <row r="111" spans="1:21" ht="29.25" customHeight="1">
      <c r="A111" s="256"/>
      <c r="B111" s="256"/>
      <c r="C111" s="335"/>
      <c r="D111" s="335"/>
      <c r="E111" s="256"/>
      <c r="F111" s="256"/>
      <c r="G111" s="256"/>
      <c r="H111" s="261"/>
      <c r="I111" s="281"/>
      <c r="J111" s="256"/>
      <c r="K111" s="256"/>
      <c r="L111" s="258"/>
      <c r="M111" s="256"/>
      <c r="N111" s="337"/>
      <c r="O111" s="258"/>
      <c r="P111" s="258"/>
      <c r="Q111" s="258"/>
      <c r="R111" s="258"/>
      <c r="S111" s="258"/>
      <c r="T111" s="258"/>
      <c r="U111" s="258"/>
    </row>
    <row r="112" spans="1:21" ht="29.25" customHeight="1">
      <c r="A112" s="256"/>
      <c r="B112" s="256"/>
      <c r="C112" s="335"/>
      <c r="D112" s="335"/>
      <c r="E112" s="256"/>
      <c r="F112" s="256"/>
      <c r="G112" s="256"/>
      <c r="H112" s="261"/>
      <c r="I112" s="281"/>
      <c r="J112" s="256"/>
      <c r="K112" s="256"/>
      <c r="L112" s="258"/>
      <c r="M112" s="256"/>
      <c r="N112" s="337"/>
      <c r="O112" s="258"/>
      <c r="P112" s="258"/>
      <c r="Q112" s="258"/>
      <c r="R112" s="258"/>
      <c r="S112" s="258"/>
      <c r="T112" s="258"/>
      <c r="U112" s="258"/>
    </row>
    <row r="113" spans="1:21" ht="29.25" customHeight="1">
      <c r="A113" s="256"/>
      <c r="B113" s="256"/>
      <c r="C113" s="335"/>
      <c r="D113" s="335"/>
      <c r="E113" s="256"/>
      <c r="F113" s="256"/>
      <c r="G113" s="256"/>
      <c r="H113" s="261"/>
      <c r="I113" s="281"/>
      <c r="J113" s="256"/>
      <c r="K113" s="256"/>
      <c r="L113" s="258"/>
      <c r="M113" s="256"/>
      <c r="N113" s="337"/>
      <c r="O113" s="258"/>
      <c r="P113" s="258"/>
      <c r="Q113" s="258"/>
      <c r="R113" s="258"/>
      <c r="S113" s="258"/>
      <c r="T113" s="258"/>
      <c r="U113" s="258"/>
    </row>
    <row r="114" spans="1:21" ht="29.25" customHeight="1">
      <c r="A114" s="256"/>
      <c r="B114" s="256"/>
      <c r="C114" s="335"/>
      <c r="D114" s="335"/>
      <c r="E114" s="256"/>
      <c r="F114" s="256"/>
      <c r="G114" s="256"/>
      <c r="H114" s="261"/>
      <c r="I114" s="281"/>
      <c r="J114" s="256"/>
      <c r="K114" s="256"/>
      <c r="L114" s="258"/>
      <c r="M114" s="256"/>
      <c r="N114" s="337"/>
      <c r="O114" s="258"/>
      <c r="P114" s="258"/>
      <c r="Q114" s="258"/>
      <c r="R114" s="258"/>
      <c r="S114" s="258"/>
      <c r="T114" s="258"/>
      <c r="U114" s="258"/>
    </row>
    <row r="115" spans="1:21" ht="29.25" customHeight="1">
      <c r="A115" s="256"/>
      <c r="B115" s="256"/>
      <c r="C115" s="335"/>
      <c r="D115" s="335"/>
      <c r="E115" s="256"/>
      <c r="F115" s="256"/>
      <c r="G115" s="256"/>
      <c r="H115" s="261"/>
      <c r="I115" s="281"/>
      <c r="J115" s="256"/>
      <c r="K115" s="256"/>
      <c r="L115" s="258"/>
      <c r="M115" s="256"/>
      <c r="N115" s="337"/>
      <c r="O115" s="258"/>
      <c r="P115" s="258"/>
      <c r="Q115" s="258"/>
      <c r="R115" s="258"/>
      <c r="S115" s="258"/>
      <c r="T115" s="258"/>
      <c r="U115" s="258"/>
    </row>
    <row r="116" spans="1:21" ht="29.25" customHeight="1">
      <c r="A116" s="256"/>
      <c r="B116" s="256"/>
      <c r="C116" s="335"/>
      <c r="D116" s="335"/>
      <c r="E116" s="256"/>
      <c r="F116" s="256"/>
      <c r="G116" s="256"/>
      <c r="H116" s="261"/>
      <c r="I116" s="281"/>
      <c r="J116" s="256"/>
      <c r="K116" s="256"/>
      <c r="L116" s="258"/>
      <c r="M116" s="256"/>
      <c r="N116" s="337"/>
      <c r="O116" s="258"/>
      <c r="P116" s="258"/>
      <c r="Q116" s="258"/>
      <c r="R116" s="258"/>
      <c r="S116" s="258"/>
      <c r="T116" s="258"/>
      <c r="U116" s="258"/>
    </row>
    <row r="117" spans="1:21" ht="29.25" customHeight="1">
      <c r="A117" s="256"/>
      <c r="B117" s="256"/>
      <c r="C117" s="335"/>
      <c r="D117" s="335"/>
      <c r="E117" s="256"/>
      <c r="F117" s="256"/>
      <c r="G117" s="256"/>
      <c r="H117" s="261"/>
      <c r="I117" s="281"/>
      <c r="J117" s="256"/>
      <c r="K117" s="256"/>
      <c r="L117" s="258"/>
      <c r="M117" s="256"/>
      <c r="N117" s="337"/>
      <c r="O117" s="258"/>
      <c r="P117" s="258"/>
      <c r="Q117" s="258"/>
      <c r="R117" s="258"/>
      <c r="S117" s="258"/>
      <c r="T117" s="258"/>
      <c r="U117" s="258"/>
    </row>
    <row r="118" spans="1:21" ht="29.25" customHeight="1">
      <c r="A118" s="256"/>
      <c r="B118" s="256"/>
      <c r="C118" s="335"/>
      <c r="D118" s="335"/>
      <c r="E118" s="256"/>
      <c r="F118" s="256"/>
      <c r="G118" s="256"/>
      <c r="H118" s="261"/>
      <c r="I118" s="281"/>
      <c r="J118" s="256"/>
      <c r="K118" s="256"/>
      <c r="L118" s="258"/>
      <c r="M118" s="256"/>
      <c r="N118" s="337"/>
      <c r="O118" s="258"/>
      <c r="P118" s="258"/>
      <c r="Q118" s="258"/>
      <c r="R118" s="258"/>
      <c r="S118" s="258"/>
      <c r="T118" s="258"/>
      <c r="U118" s="258"/>
    </row>
    <row r="119" spans="1:21" ht="29.25" customHeight="1">
      <c r="A119" s="256"/>
      <c r="B119" s="256"/>
      <c r="C119" s="335"/>
      <c r="D119" s="335"/>
      <c r="E119" s="256"/>
      <c r="F119" s="256"/>
      <c r="G119" s="256"/>
      <c r="H119" s="261"/>
      <c r="I119" s="281"/>
      <c r="J119" s="256"/>
      <c r="K119" s="256"/>
      <c r="L119" s="258"/>
      <c r="M119" s="256"/>
      <c r="N119" s="337"/>
      <c r="O119" s="258"/>
      <c r="P119" s="258"/>
      <c r="Q119" s="258"/>
      <c r="R119" s="258"/>
      <c r="S119" s="258"/>
      <c r="T119" s="258"/>
      <c r="U119" s="258"/>
    </row>
    <row r="120" spans="1:21" ht="29.25" customHeight="1">
      <c r="A120" s="256"/>
      <c r="B120" s="256"/>
      <c r="C120" s="335"/>
      <c r="D120" s="335"/>
      <c r="E120" s="256"/>
      <c r="F120" s="256"/>
      <c r="G120" s="256"/>
      <c r="H120" s="261"/>
      <c r="I120" s="281"/>
      <c r="J120" s="256"/>
      <c r="K120" s="256"/>
      <c r="L120" s="258"/>
      <c r="M120" s="256"/>
      <c r="N120" s="337"/>
      <c r="O120" s="258"/>
      <c r="P120" s="258"/>
      <c r="Q120" s="258"/>
      <c r="R120" s="258"/>
      <c r="S120" s="258"/>
      <c r="T120" s="258"/>
      <c r="U120" s="258"/>
    </row>
    <row r="121" spans="1:21" ht="29.25" customHeight="1">
      <c r="A121" s="256"/>
      <c r="B121" s="256"/>
      <c r="C121" s="335"/>
      <c r="D121" s="335"/>
      <c r="E121" s="256"/>
      <c r="F121" s="256"/>
      <c r="G121" s="256"/>
      <c r="H121" s="261"/>
      <c r="I121" s="281"/>
      <c r="J121" s="256"/>
      <c r="K121" s="256"/>
      <c r="L121" s="258"/>
      <c r="M121" s="256"/>
      <c r="N121" s="337"/>
      <c r="O121" s="258"/>
      <c r="P121" s="258"/>
      <c r="Q121" s="258"/>
      <c r="R121" s="258"/>
      <c r="S121" s="258"/>
      <c r="T121" s="258"/>
      <c r="U121" s="258"/>
    </row>
    <row r="122" spans="1:21" ht="29.25" customHeight="1">
      <c r="A122" s="256"/>
      <c r="B122" s="256"/>
      <c r="C122" s="335"/>
      <c r="D122" s="335"/>
      <c r="E122" s="256"/>
      <c r="F122" s="256"/>
      <c r="G122" s="256"/>
      <c r="H122" s="261"/>
      <c r="I122" s="281"/>
      <c r="J122" s="256"/>
      <c r="K122" s="256"/>
      <c r="L122" s="258"/>
      <c r="M122" s="256"/>
      <c r="N122" s="337"/>
      <c r="O122" s="258"/>
      <c r="P122" s="258"/>
      <c r="Q122" s="258"/>
      <c r="R122" s="258"/>
      <c r="S122" s="258"/>
      <c r="T122" s="258"/>
      <c r="U122" s="258"/>
    </row>
    <row r="123" spans="1:21" ht="29.25" customHeight="1">
      <c r="A123" s="256"/>
      <c r="B123" s="256"/>
      <c r="C123" s="335"/>
      <c r="D123" s="335"/>
      <c r="E123" s="256"/>
      <c r="F123" s="256"/>
      <c r="G123" s="256"/>
      <c r="H123" s="261"/>
      <c r="I123" s="281"/>
      <c r="J123" s="256"/>
      <c r="K123" s="256"/>
      <c r="L123" s="258"/>
      <c r="M123" s="256"/>
      <c r="N123" s="337"/>
      <c r="O123" s="258"/>
      <c r="P123" s="258"/>
      <c r="Q123" s="258"/>
      <c r="R123" s="258"/>
      <c r="S123" s="258"/>
      <c r="T123" s="258"/>
      <c r="U123" s="258"/>
    </row>
    <row r="124" spans="1:21" ht="29.25" customHeight="1">
      <c r="A124" s="256"/>
      <c r="B124" s="256"/>
      <c r="C124" s="335"/>
      <c r="D124" s="335"/>
      <c r="E124" s="256"/>
      <c r="F124" s="256"/>
      <c r="G124" s="256"/>
      <c r="H124" s="261"/>
      <c r="I124" s="281"/>
      <c r="J124" s="256"/>
      <c r="K124" s="256"/>
      <c r="L124" s="258"/>
      <c r="M124" s="256"/>
      <c r="N124" s="337"/>
      <c r="O124" s="258"/>
      <c r="P124" s="258"/>
      <c r="Q124" s="258"/>
      <c r="R124" s="258"/>
      <c r="S124" s="258"/>
      <c r="T124" s="258"/>
      <c r="U124" s="258"/>
    </row>
    <row r="125" spans="1:21" ht="29.25" customHeight="1">
      <c r="A125" s="256"/>
      <c r="B125" s="256"/>
      <c r="C125" s="335"/>
      <c r="D125" s="335"/>
      <c r="E125" s="256"/>
      <c r="F125" s="256"/>
      <c r="G125" s="256"/>
      <c r="H125" s="261"/>
      <c r="I125" s="281"/>
      <c r="J125" s="256"/>
      <c r="K125" s="256"/>
      <c r="L125" s="258"/>
      <c r="M125" s="256"/>
      <c r="N125" s="337"/>
      <c r="O125" s="258"/>
      <c r="P125" s="258"/>
      <c r="Q125" s="258"/>
      <c r="R125" s="258"/>
      <c r="S125" s="258"/>
      <c r="T125" s="258"/>
      <c r="U125" s="258"/>
    </row>
    <row r="126" spans="1:21" ht="29.25" customHeight="1">
      <c r="A126" s="256"/>
      <c r="B126" s="256"/>
      <c r="C126" s="335"/>
      <c r="D126" s="335"/>
      <c r="E126" s="256"/>
      <c r="F126" s="256"/>
      <c r="G126" s="256"/>
      <c r="H126" s="261"/>
      <c r="I126" s="281"/>
      <c r="J126" s="256"/>
      <c r="K126" s="256"/>
      <c r="L126" s="258"/>
      <c r="M126" s="256"/>
      <c r="N126" s="337"/>
      <c r="O126" s="258"/>
      <c r="P126" s="258"/>
      <c r="Q126" s="258"/>
      <c r="R126" s="258"/>
      <c r="S126" s="258"/>
      <c r="T126" s="258"/>
      <c r="U126" s="258"/>
    </row>
    <row r="127" spans="1:21" ht="29.25" customHeight="1">
      <c r="A127" s="256"/>
      <c r="B127" s="256"/>
      <c r="C127" s="335"/>
      <c r="D127" s="335"/>
      <c r="E127" s="256"/>
      <c r="F127" s="256"/>
      <c r="G127" s="256"/>
      <c r="H127" s="261"/>
      <c r="I127" s="281"/>
      <c r="J127" s="256"/>
      <c r="K127" s="256"/>
      <c r="L127" s="258"/>
      <c r="M127" s="256"/>
      <c r="N127" s="337"/>
      <c r="O127" s="258"/>
      <c r="P127" s="258"/>
      <c r="Q127" s="258"/>
      <c r="R127" s="258"/>
      <c r="S127" s="258"/>
      <c r="T127" s="258"/>
      <c r="U127" s="258"/>
    </row>
    <row r="128" spans="1:21" ht="29.25" customHeight="1">
      <c r="A128" s="256"/>
      <c r="B128" s="256"/>
      <c r="C128" s="335"/>
      <c r="D128" s="335"/>
      <c r="E128" s="256"/>
      <c r="F128" s="256"/>
      <c r="G128" s="256"/>
      <c r="H128" s="261"/>
      <c r="I128" s="281"/>
      <c r="J128" s="256"/>
      <c r="K128" s="256"/>
      <c r="L128" s="258"/>
      <c r="M128" s="256"/>
      <c r="N128" s="337"/>
      <c r="O128" s="258"/>
      <c r="P128" s="258"/>
      <c r="Q128" s="258"/>
      <c r="R128" s="258"/>
      <c r="S128" s="258"/>
      <c r="T128" s="258"/>
      <c r="U128" s="258"/>
    </row>
    <row r="129" spans="1:21" ht="29.25" customHeight="1">
      <c r="A129" s="256"/>
      <c r="B129" s="256"/>
      <c r="C129" s="335"/>
      <c r="D129" s="335"/>
      <c r="E129" s="256"/>
      <c r="F129" s="256"/>
      <c r="G129" s="256"/>
      <c r="H129" s="261"/>
      <c r="I129" s="281"/>
      <c r="J129" s="256"/>
      <c r="K129" s="256"/>
      <c r="L129" s="258"/>
      <c r="M129" s="256"/>
      <c r="N129" s="337"/>
      <c r="O129" s="258"/>
      <c r="P129" s="258"/>
      <c r="Q129" s="258"/>
      <c r="R129" s="258"/>
      <c r="S129" s="258"/>
      <c r="T129" s="258"/>
      <c r="U129" s="258"/>
    </row>
    <row r="130" spans="1:21" ht="29.25" customHeight="1">
      <c r="A130" s="256"/>
      <c r="B130" s="256"/>
      <c r="C130" s="335"/>
      <c r="D130" s="335"/>
      <c r="E130" s="256"/>
      <c r="F130" s="256"/>
      <c r="G130" s="256"/>
      <c r="H130" s="261"/>
      <c r="I130" s="281"/>
      <c r="J130" s="256"/>
      <c r="K130" s="256"/>
      <c r="L130" s="258"/>
      <c r="M130" s="256"/>
      <c r="N130" s="337"/>
      <c r="O130" s="258"/>
      <c r="P130" s="258"/>
      <c r="Q130" s="258"/>
      <c r="R130" s="258"/>
      <c r="S130" s="258"/>
      <c r="T130" s="258"/>
      <c r="U130" s="258"/>
    </row>
    <row r="131" spans="1:21" ht="29.25" customHeight="1">
      <c r="A131" s="256"/>
      <c r="B131" s="256"/>
      <c r="C131" s="335"/>
      <c r="D131" s="335"/>
      <c r="E131" s="256"/>
      <c r="F131" s="256"/>
      <c r="G131" s="256"/>
      <c r="H131" s="261"/>
      <c r="I131" s="281"/>
      <c r="J131" s="256"/>
      <c r="K131" s="256"/>
      <c r="L131" s="258"/>
      <c r="M131" s="256"/>
      <c r="N131" s="337"/>
      <c r="O131" s="258"/>
      <c r="P131" s="258"/>
      <c r="Q131" s="258"/>
      <c r="R131" s="258"/>
      <c r="S131" s="258"/>
      <c r="T131" s="258"/>
      <c r="U131" s="258"/>
    </row>
    <row r="132" spans="1:21" ht="29.25" customHeight="1">
      <c r="A132" s="256"/>
      <c r="B132" s="256"/>
      <c r="C132" s="335"/>
      <c r="D132" s="335"/>
      <c r="E132" s="256"/>
      <c r="F132" s="256"/>
      <c r="G132" s="256"/>
      <c r="H132" s="261"/>
      <c r="I132" s="281"/>
      <c r="J132" s="256"/>
      <c r="K132" s="256"/>
      <c r="L132" s="258"/>
      <c r="M132" s="256"/>
      <c r="N132" s="337"/>
      <c r="O132" s="258"/>
      <c r="P132" s="258"/>
      <c r="Q132" s="258"/>
      <c r="R132" s="258"/>
      <c r="S132" s="258"/>
      <c r="T132" s="258"/>
      <c r="U132" s="258"/>
    </row>
    <row r="133" spans="1:21" ht="29.25" customHeight="1">
      <c r="A133" s="256"/>
      <c r="B133" s="256"/>
      <c r="C133" s="335"/>
      <c r="D133" s="335"/>
      <c r="E133" s="256"/>
      <c r="F133" s="256"/>
      <c r="G133" s="256"/>
      <c r="H133" s="261"/>
      <c r="I133" s="281"/>
      <c r="J133" s="256"/>
      <c r="K133" s="256"/>
      <c r="L133" s="258"/>
      <c r="M133" s="256"/>
      <c r="N133" s="337"/>
      <c r="O133" s="258"/>
      <c r="P133" s="258"/>
      <c r="Q133" s="258"/>
      <c r="R133" s="258"/>
      <c r="S133" s="258"/>
      <c r="T133" s="258"/>
      <c r="U133" s="258"/>
    </row>
    <row r="134" spans="1:21" ht="29.25" customHeight="1">
      <c r="A134" s="256"/>
      <c r="B134" s="256"/>
      <c r="C134" s="335"/>
      <c r="D134" s="335"/>
      <c r="E134" s="256"/>
      <c r="F134" s="256"/>
      <c r="G134" s="256"/>
      <c r="H134" s="261"/>
      <c r="I134" s="281"/>
      <c r="J134" s="256"/>
      <c r="K134" s="256"/>
      <c r="L134" s="258"/>
      <c r="M134" s="256"/>
      <c r="N134" s="337"/>
      <c r="O134" s="258"/>
      <c r="P134" s="258"/>
      <c r="Q134" s="258"/>
      <c r="R134" s="258"/>
      <c r="S134" s="258"/>
      <c r="T134" s="258"/>
      <c r="U134" s="258"/>
    </row>
    <row r="135" spans="1:21" ht="29.25" customHeight="1">
      <c r="A135" s="256"/>
      <c r="B135" s="256"/>
      <c r="C135" s="335"/>
      <c r="D135" s="335"/>
      <c r="E135" s="256"/>
      <c r="F135" s="256"/>
      <c r="G135" s="256"/>
      <c r="H135" s="261"/>
      <c r="I135" s="281"/>
      <c r="J135" s="256"/>
      <c r="K135" s="256"/>
      <c r="L135" s="258"/>
      <c r="M135" s="256"/>
      <c r="N135" s="337"/>
      <c r="O135" s="258"/>
      <c r="P135" s="258"/>
      <c r="Q135" s="258"/>
      <c r="R135" s="258"/>
      <c r="S135" s="258"/>
      <c r="T135" s="258"/>
      <c r="U135" s="258"/>
    </row>
    <row r="136" spans="1:21" ht="29.25" customHeight="1">
      <c r="A136" s="256"/>
      <c r="B136" s="256"/>
      <c r="C136" s="335"/>
      <c r="D136" s="335"/>
      <c r="E136" s="256"/>
      <c r="F136" s="256"/>
      <c r="G136" s="256"/>
      <c r="H136" s="261"/>
      <c r="I136" s="281"/>
      <c r="J136" s="256"/>
      <c r="K136" s="256"/>
      <c r="L136" s="258"/>
      <c r="M136" s="256"/>
      <c r="N136" s="337"/>
      <c r="O136" s="258"/>
      <c r="P136" s="258"/>
      <c r="Q136" s="258"/>
      <c r="R136" s="258"/>
      <c r="S136" s="258"/>
      <c r="T136" s="258"/>
      <c r="U136" s="258"/>
    </row>
    <row r="137" spans="1:21" ht="29.25" customHeight="1">
      <c r="A137" s="256"/>
      <c r="B137" s="256"/>
      <c r="C137" s="335"/>
      <c r="D137" s="335"/>
      <c r="E137" s="256"/>
      <c r="F137" s="256"/>
      <c r="G137" s="256"/>
      <c r="H137" s="261"/>
      <c r="I137" s="281"/>
      <c r="J137" s="256"/>
      <c r="K137" s="256"/>
      <c r="L137" s="258"/>
      <c r="M137" s="256"/>
      <c r="N137" s="337"/>
      <c r="O137" s="258"/>
      <c r="P137" s="258"/>
      <c r="Q137" s="258"/>
      <c r="R137" s="258"/>
      <c r="S137" s="258"/>
      <c r="T137" s="258"/>
      <c r="U137" s="258"/>
    </row>
    <row r="138" spans="1:21" ht="29.25" customHeight="1">
      <c r="A138" s="256"/>
      <c r="B138" s="256"/>
      <c r="C138" s="335"/>
      <c r="D138" s="335"/>
      <c r="E138" s="256"/>
      <c r="F138" s="256"/>
      <c r="G138" s="256"/>
      <c r="H138" s="261"/>
      <c r="I138" s="281"/>
      <c r="J138" s="256"/>
      <c r="K138" s="256"/>
      <c r="L138" s="258"/>
      <c r="M138" s="256"/>
      <c r="N138" s="337"/>
      <c r="O138" s="258"/>
      <c r="P138" s="258"/>
      <c r="Q138" s="258"/>
      <c r="R138" s="258"/>
      <c r="S138" s="258"/>
      <c r="T138" s="258"/>
      <c r="U138" s="258"/>
    </row>
    <row r="139" spans="1:21" ht="29.25" customHeight="1">
      <c r="A139" s="256"/>
      <c r="B139" s="256"/>
      <c r="C139" s="335"/>
      <c r="D139" s="335"/>
      <c r="E139" s="256"/>
      <c r="F139" s="256"/>
      <c r="G139" s="256"/>
      <c r="H139" s="261"/>
      <c r="I139" s="281"/>
      <c r="J139" s="256"/>
      <c r="K139" s="256"/>
      <c r="L139" s="258"/>
      <c r="M139" s="256"/>
      <c r="N139" s="337"/>
      <c r="O139" s="258"/>
      <c r="P139" s="258"/>
      <c r="Q139" s="258"/>
      <c r="R139" s="258"/>
      <c r="S139" s="258"/>
      <c r="T139" s="258"/>
      <c r="U139" s="258"/>
    </row>
    <row r="140" spans="1:21" ht="29.25" customHeight="1">
      <c r="A140" s="256"/>
      <c r="B140" s="256"/>
      <c r="C140" s="335"/>
      <c r="D140" s="335"/>
      <c r="E140" s="256"/>
      <c r="F140" s="256"/>
      <c r="G140" s="256"/>
      <c r="H140" s="261"/>
      <c r="I140" s="281"/>
      <c r="J140" s="256"/>
      <c r="K140" s="256"/>
      <c r="L140" s="258"/>
      <c r="M140" s="256"/>
      <c r="N140" s="337"/>
      <c r="O140" s="258"/>
      <c r="P140" s="258"/>
      <c r="Q140" s="258"/>
      <c r="R140" s="258"/>
      <c r="S140" s="258"/>
      <c r="T140" s="258"/>
      <c r="U140" s="258"/>
    </row>
    <row r="141" spans="1:21" ht="29.25" customHeight="1">
      <c r="A141" s="256"/>
      <c r="B141" s="256"/>
      <c r="C141" s="335"/>
      <c r="D141" s="335"/>
      <c r="E141" s="256"/>
      <c r="F141" s="256"/>
      <c r="G141" s="256"/>
      <c r="H141" s="261"/>
      <c r="I141" s="281"/>
      <c r="J141" s="256"/>
      <c r="K141" s="256"/>
      <c r="L141" s="258"/>
      <c r="M141" s="256"/>
      <c r="N141" s="337"/>
      <c r="O141" s="258"/>
      <c r="P141" s="258"/>
      <c r="Q141" s="258"/>
      <c r="R141" s="258"/>
      <c r="S141" s="258"/>
      <c r="T141" s="258"/>
      <c r="U141" s="258"/>
    </row>
    <row r="142" spans="1:21" ht="29.25" customHeight="1">
      <c r="A142" s="256"/>
      <c r="B142" s="256"/>
      <c r="C142" s="335"/>
      <c r="D142" s="335"/>
      <c r="E142" s="256"/>
      <c r="F142" s="256"/>
      <c r="G142" s="256"/>
      <c r="H142" s="261"/>
      <c r="I142" s="281"/>
      <c r="J142" s="256"/>
      <c r="K142" s="256"/>
      <c r="L142" s="258"/>
      <c r="M142" s="256"/>
      <c r="N142" s="337"/>
      <c r="O142" s="258"/>
      <c r="P142" s="258"/>
      <c r="Q142" s="258"/>
      <c r="R142" s="258"/>
      <c r="S142" s="258"/>
      <c r="T142" s="258"/>
      <c r="U142" s="258"/>
    </row>
    <row r="143" spans="1:21" ht="29.25" customHeight="1">
      <c r="A143" s="256"/>
      <c r="B143" s="256"/>
      <c r="C143" s="335"/>
      <c r="D143" s="335"/>
      <c r="E143" s="256"/>
      <c r="F143" s="256"/>
      <c r="G143" s="256"/>
      <c r="H143" s="261"/>
      <c r="I143" s="281"/>
      <c r="J143" s="256"/>
      <c r="K143" s="256"/>
      <c r="L143" s="258"/>
      <c r="M143" s="256"/>
      <c r="N143" s="337"/>
      <c r="O143" s="258"/>
      <c r="P143" s="258"/>
      <c r="Q143" s="258"/>
      <c r="R143" s="258"/>
      <c r="S143" s="258"/>
      <c r="T143" s="258"/>
      <c r="U143" s="258"/>
    </row>
    <row r="144" spans="1:21" ht="29.25" customHeight="1">
      <c r="A144" s="256"/>
      <c r="B144" s="256"/>
      <c r="C144" s="335"/>
      <c r="D144" s="335"/>
      <c r="E144" s="256"/>
      <c r="F144" s="256"/>
      <c r="G144" s="256"/>
      <c r="H144" s="261"/>
      <c r="I144" s="281"/>
      <c r="J144" s="256"/>
      <c r="K144" s="256"/>
      <c r="L144" s="258"/>
      <c r="M144" s="256"/>
      <c r="N144" s="337"/>
      <c r="O144" s="258"/>
      <c r="P144" s="258"/>
      <c r="Q144" s="258"/>
      <c r="R144" s="258"/>
      <c r="S144" s="258"/>
      <c r="T144" s="258"/>
      <c r="U144" s="258"/>
    </row>
    <row r="145" spans="1:21" ht="29.25" customHeight="1">
      <c r="A145" s="256"/>
      <c r="B145" s="256"/>
      <c r="C145" s="335"/>
      <c r="D145" s="335"/>
      <c r="E145" s="256"/>
      <c r="F145" s="256"/>
      <c r="G145" s="256"/>
      <c r="H145" s="261"/>
      <c r="I145" s="281"/>
      <c r="J145" s="256"/>
      <c r="K145" s="256"/>
      <c r="L145" s="258"/>
      <c r="M145" s="256"/>
      <c r="N145" s="337"/>
      <c r="O145" s="258"/>
      <c r="P145" s="258"/>
      <c r="Q145" s="258"/>
      <c r="R145" s="258"/>
      <c r="S145" s="258"/>
      <c r="T145" s="258"/>
      <c r="U145" s="258"/>
    </row>
    <row r="146" spans="1:21" ht="29.25" customHeight="1">
      <c r="A146" s="256"/>
      <c r="B146" s="256"/>
      <c r="C146" s="335"/>
      <c r="D146" s="335"/>
      <c r="E146" s="256"/>
      <c r="F146" s="256"/>
      <c r="G146" s="256"/>
      <c r="H146" s="261"/>
      <c r="I146" s="281"/>
      <c r="J146" s="256"/>
      <c r="K146" s="256"/>
      <c r="L146" s="258"/>
      <c r="M146" s="256"/>
      <c r="N146" s="337"/>
      <c r="O146" s="258"/>
      <c r="P146" s="258"/>
      <c r="Q146" s="258"/>
      <c r="R146" s="258"/>
      <c r="S146" s="258"/>
      <c r="T146" s="258"/>
      <c r="U146" s="258"/>
    </row>
    <row r="147" spans="1:21" ht="29.25" customHeight="1">
      <c r="A147" s="256"/>
      <c r="B147" s="256"/>
      <c r="C147" s="335"/>
      <c r="D147" s="335"/>
      <c r="E147" s="256"/>
      <c r="F147" s="256"/>
      <c r="G147" s="256"/>
      <c r="H147" s="261"/>
      <c r="I147" s="281"/>
      <c r="J147" s="256"/>
      <c r="K147" s="256"/>
      <c r="L147" s="258"/>
      <c r="M147" s="256"/>
      <c r="N147" s="337"/>
      <c r="O147" s="258"/>
      <c r="P147" s="258"/>
      <c r="Q147" s="258"/>
      <c r="R147" s="258"/>
      <c r="S147" s="258"/>
      <c r="T147" s="258"/>
      <c r="U147" s="258"/>
    </row>
    <row r="148" spans="1:21" ht="29.25" customHeight="1">
      <c r="A148" s="256"/>
      <c r="B148" s="256"/>
      <c r="C148" s="335"/>
      <c r="D148" s="335"/>
      <c r="E148" s="256"/>
      <c r="F148" s="256"/>
      <c r="G148" s="256"/>
      <c r="H148" s="261"/>
      <c r="I148" s="281"/>
      <c r="J148" s="256"/>
      <c r="K148" s="256"/>
      <c r="L148" s="258"/>
      <c r="M148" s="256"/>
      <c r="N148" s="337"/>
      <c r="O148" s="258"/>
      <c r="P148" s="258"/>
      <c r="Q148" s="258"/>
      <c r="R148" s="258"/>
      <c r="S148" s="258"/>
      <c r="T148" s="258"/>
      <c r="U148" s="258"/>
    </row>
    <row r="149" spans="1:21" ht="29.25" customHeight="1">
      <c r="A149" s="256"/>
      <c r="B149" s="256"/>
      <c r="C149" s="335"/>
      <c r="D149" s="335"/>
      <c r="E149" s="256"/>
      <c r="F149" s="256"/>
      <c r="G149" s="256"/>
      <c r="H149" s="261"/>
      <c r="I149" s="281"/>
      <c r="J149" s="256"/>
      <c r="K149" s="256"/>
      <c r="L149" s="258"/>
      <c r="M149" s="256"/>
      <c r="N149" s="337"/>
      <c r="O149" s="258"/>
      <c r="P149" s="258"/>
      <c r="Q149" s="258"/>
      <c r="R149" s="258"/>
      <c r="S149" s="258"/>
      <c r="T149" s="258"/>
      <c r="U149" s="258"/>
    </row>
    <row r="150" spans="1:21" ht="29.25" customHeight="1">
      <c r="A150" s="256"/>
      <c r="B150" s="256"/>
      <c r="C150" s="335"/>
      <c r="D150" s="335"/>
      <c r="E150" s="256"/>
      <c r="F150" s="256"/>
      <c r="G150" s="256"/>
      <c r="H150" s="261"/>
      <c r="I150" s="281"/>
      <c r="J150" s="256"/>
      <c r="K150" s="256"/>
      <c r="L150" s="258"/>
      <c r="M150" s="256"/>
      <c r="N150" s="337"/>
      <c r="O150" s="258"/>
      <c r="P150" s="258"/>
      <c r="Q150" s="258"/>
      <c r="R150" s="258"/>
      <c r="S150" s="258"/>
      <c r="T150" s="258"/>
      <c r="U150" s="258"/>
    </row>
    <row r="151" spans="1:21" ht="29.25" customHeight="1">
      <c r="A151" s="256"/>
      <c r="B151" s="256"/>
      <c r="C151" s="335"/>
      <c r="D151" s="335"/>
      <c r="E151" s="256"/>
      <c r="F151" s="256"/>
      <c r="G151" s="256"/>
      <c r="H151" s="261"/>
      <c r="I151" s="281"/>
      <c r="J151" s="256"/>
      <c r="K151" s="256"/>
      <c r="L151" s="258"/>
      <c r="M151" s="256"/>
      <c r="N151" s="337"/>
      <c r="O151" s="258"/>
      <c r="P151" s="258"/>
      <c r="Q151" s="258"/>
      <c r="R151" s="258"/>
      <c r="S151" s="258"/>
      <c r="T151" s="258"/>
      <c r="U151" s="258"/>
    </row>
    <row r="152" spans="1:21" ht="29.25" customHeight="1">
      <c r="A152" s="256"/>
      <c r="B152" s="256"/>
      <c r="C152" s="335"/>
      <c r="D152" s="335"/>
      <c r="E152" s="256"/>
      <c r="F152" s="256"/>
      <c r="G152" s="256"/>
      <c r="H152" s="261"/>
      <c r="I152" s="281"/>
      <c r="J152" s="256"/>
      <c r="K152" s="256"/>
      <c r="L152" s="258"/>
      <c r="M152" s="256"/>
      <c r="N152" s="337"/>
      <c r="O152" s="258"/>
      <c r="P152" s="258"/>
      <c r="Q152" s="258"/>
      <c r="R152" s="258"/>
      <c r="S152" s="258"/>
      <c r="T152" s="258"/>
      <c r="U152" s="258"/>
    </row>
    <row r="153" spans="1:21" ht="29.25" customHeight="1">
      <c r="A153" s="256"/>
      <c r="B153" s="256"/>
      <c r="C153" s="335"/>
      <c r="D153" s="335"/>
      <c r="E153" s="256"/>
      <c r="F153" s="256"/>
      <c r="G153" s="256"/>
      <c r="H153" s="261"/>
      <c r="I153" s="281"/>
      <c r="J153" s="256"/>
      <c r="K153" s="256"/>
      <c r="L153" s="258"/>
      <c r="M153" s="256"/>
      <c r="N153" s="337"/>
      <c r="O153" s="258"/>
      <c r="P153" s="258"/>
      <c r="Q153" s="258"/>
      <c r="R153" s="258"/>
      <c r="S153" s="258"/>
      <c r="T153" s="258"/>
      <c r="U153" s="258"/>
    </row>
    <row r="154" spans="1:21" ht="29.25" customHeight="1">
      <c r="A154" s="256"/>
      <c r="B154" s="256"/>
      <c r="C154" s="335"/>
      <c r="D154" s="335"/>
      <c r="E154" s="256"/>
      <c r="F154" s="256"/>
      <c r="G154" s="256"/>
      <c r="H154" s="261"/>
      <c r="I154" s="281"/>
      <c r="J154" s="256"/>
      <c r="K154" s="256"/>
      <c r="L154" s="258"/>
      <c r="M154" s="256"/>
      <c r="N154" s="337"/>
      <c r="O154" s="258"/>
      <c r="P154" s="258"/>
      <c r="Q154" s="258"/>
      <c r="R154" s="258"/>
      <c r="S154" s="258"/>
      <c r="T154" s="258"/>
      <c r="U154" s="258"/>
    </row>
    <row r="155" spans="1:21" ht="29.25" customHeight="1">
      <c r="A155" s="256"/>
      <c r="B155" s="256"/>
      <c r="C155" s="335"/>
      <c r="D155" s="335"/>
      <c r="E155" s="256"/>
      <c r="F155" s="256"/>
      <c r="G155" s="256"/>
      <c r="H155" s="261"/>
      <c r="I155" s="281"/>
      <c r="J155" s="256"/>
      <c r="K155" s="256"/>
      <c r="L155" s="258"/>
      <c r="M155" s="256"/>
      <c r="N155" s="337"/>
      <c r="O155" s="258"/>
      <c r="P155" s="258"/>
      <c r="Q155" s="258"/>
      <c r="R155" s="258"/>
      <c r="S155" s="258"/>
      <c r="T155" s="258"/>
      <c r="U155" s="258"/>
    </row>
    <row r="156" spans="1:21" ht="29.25" customHeight="1">
      <c r="A156" s="256"/>
      <c r="B156" s="256"/>
      <c r="C156" s="335"/>
      <c r="D156" s="335"/>
      <c r="E156" s="256"/>
      <c r="F156" s="256"/>
      <c r="G156" s="256"/>
      <c r="H156" s="261"/>
      <c r="I156" s="281"/>
      <c r="J156" s="256"/>
      <c r="K156" s="256"/>
      <c r="L156" s="258"/>
      <c r="M156" s="256"/>
      <c r="N156" s="337"/>
      <c r="O156" s="258"/>
      <c r="P156" s="258"/>
      <c r="Q156" s="258"/>
      <c r="R156" s="258"/>
      <c r="S156" s="258"/>
      <c r="T156" s="258"/>
      <c r="U156" s="258"/>
    </row>
    <row r="157" spans="1:21" ht="29.25" customHeight="1">
      <c r="A157" s="256"/>
      <c r="B157" s="256"/>
      <c r="C157" s="335"/>
      <c r="D157" s="335"/>
      <c r="E157" s="256"/>
      <c r="F157" s="256"/>
      <c r="G157" s="256"/>
      <c r="H157" s="261"/>
      <c r="I157" s="281"/>
      <c r="J157" s="256"/>
      <c r="K157" s="256"/>
      <c r="L157" s="258"/>
      <c r="M157" s="256"/>
      <c r="N157" s="337"/>
      <c r="O157" s="258"/>
      <c r="P157" s="258"/>
      <c r="Q157" s="258"/>
      <c r="R157" s="258"/>
      <c r="S157" s="258"/>
      <c r="T157" s="258"/>
      <c r="U157" s="258"/>
    </row>
    <row r="158" spans="1:21" ht="29.25" customHeight="1">
      <c r="A158" s="256"/>
      <c r="B158" s="256"/>
      <c r="C158" s="335"/>
      <c r="D158" s="335"/>
      <c r="E158" s="256"/>
      <c r="F158" s="256"/>
      <c r="G158" s="256"/>
      <c r="H158" s="261"/>
      <c r="I158" s="281"/>
      <c r="J158" s="256"/>
      <c r="K158" s="256"/>
      <c r="L158" s="258"/>
      <c r="M158" s="256"/>
      <c r="N158" s="337"/>
      <c r="O158" s="258"/>
      <c r="P158" s="258"/>
      <c r="Q158" s="258"/>
      <c r="R158" s="258"/>
      <c r="S158" s="258"/>
      <c r="T158" s="258"/>
      <c r="U158" s="258"/>
    </row>
    <row r="159" spans="1:21" ht="29.25" customHeight="1">
      <c r="A159" s="256"/>
      <c r="B159" s="256"/>
      <c r="C159" s="335"/>
      <c r="D159" s="335"/>
      <c r="E159" s="256"/>
      <c r="F159" s="256"/>
      <c r="G159" s="256"/>
      <c r="H159" s="261"/>
      <c r="I159" s="281"/>
      <c r="J159" s="256"/>
      <c r="K159" s="256"/>
      <c r="L159" s="258"/>
      <c r="M159" s="256"/>
      <c r="N159" s="337"/>
      <c r="O159" s="258"/>
      <c r="P159" s="258"/>
      <c r="Q159" s="258"/>
      <c r="R159" s="258"/>
      <c r="S159" s="258"/>
      <c r="T159" s="258"/>
      <c r="U159" s="258"/>
    </row>
    <row r="160" spans="1:21" ht="29.25" customHeight="1">
      <c r="A160" s="256"/>
      <c r="B160" s="256"/>
      <c r="C160" s="335"/>
      <c r="D160" s="335"/>
      <c r="E160" s="256"/>
      <c r="F160" s="256"/>
      <c r="G160" s="256"/>
      <c r="H160" s="261"/>
      <c r="I160" s="281"/>
      <c r="J160" s="256"/>
      <c r="K160" s="256"/>
      <c r="L160" s="258"/>
      <c r="M160" s="256"/>
      <c r="N160" s="337"/>
      <c r="O160" s="258"/>
      <c r="P160" s="258"/>
      <c r="Q160" s="258"/>
      <c r="R160" s="258"/>
      <c r="S160" s="258"/>
      <c r="T160" s="258"/>
      <c r="U160" s="258"/>
    </row>
    <row r="161" spans="1:21" ht="29.25" customHeight="1">
      <c r="A161" s="256"/>
      <c r="B161" s="256"/>
      <c r="C161" s="335"/>
      <c r="D161" s="335"/>
      <c r="E161" s="256"/>
      <c r="F161" s="256"/>
      <c r="G161" s="256"/>
      <c r="H161" s="261"/>
      <c r="I161" s="281"/>
      <c r="J161" s="256"/>
      <c r="K161" s="256"/>
      <c r="L161" s="258"/>
      <c r="M161" s="256"/>
      <c r="N161" s="337"/>
      <c r="O161" s="258"/>
      <c r="P161" s="258"/>
      <c r="Q161" s="258"/>
      <c r="R161" s="258"/>
      <c r="S161" s="258"/>
      <c r="T161" s="258"/>
      <c r="U161" s="258"/>
    </row>
    <row r="162" spans="1:21" ht="29.25" customHeight="1">
      <c r="A162" s="256"/>
      <c r="B162" s="256"/>
      <c r="C162" s="335"/>
      <c r="D162" s="335"/>
      <c r="E162" s="256"/>
      <c r="F162" s="256"/>
      <c r="G162" s="256"/>
      <c r="H162" s="261"/>
      <c r="I162" s="281"/>
      <c r="J162" s="256"/>
      <c r="K162" s="256"/>
      <c r="L162" s="258"/>
      <c r="M162" s="256"/>
      <c r="N162" s="337"/>
      <c r="O162" s="258"/>
      <c r="P162" s="258"/>
      <c r="Q162" s="258"/>
      <c r="R162" s="258"/>
      <c r="S162" s="258"/>
      <c r="T162" s="258"/>
      <c r="U162" s="258"/>
    </row>
    <row r="163" spans="1:21" ht="29.25" customHeight="1">
      <c r="A163" s="256"/>
      <c r="B163" s="256"/>
      <c r="C163" s="335"/>
      <c r="D163" s="335"/>
      <c r="E163" s="256"/>
      <c r="F163" s="256"/>
      <c r="G163" s="256"/>
      <c r="H163" s="261"/>
      <c r="I163" s="281"/>
      <c r="J163" s="256"/>
      <c r="K163" s="256"/>
      <c r="L163" s="258"/>
      <c r="M163" s="256"/>
      <c r="N163" s="337"/>
      <c r="O163" s="258"/>
      <c r="P163" s="258"/>
      <c r="Q163" s="258"/>
      <c r="R163" s="258"/>
      <c r="S163" s="258"/>
      <c r="T163" s="258"/>
      <c r="U163" s="258"/>
    </row>
    <row r="164" spans="1:21" ht="29.25" customHeight="1">
      <c r="A164" s="256"/>
      <c r="B164" s="256"/>
      <c r="C164" s="335"/>
      <c r="D164" s="335"/>
      <c r="E164" s="256"/>
      <c r="F164" s="256"/>
      <c r="G164" s="256"/>
      <c r="H164" s="261"/>
      <c r="I164" s="281"/>
      <c r="J164" s="256"/>
      <c r="K164" s="256"/>
      <c r="L164" s="258"/>
      <c r="M164" s="256"/>
      <c r="N164" s="337"/>
      <c r="O164" s="258"/>
      <c r="P164" s="258"/>
      <c r="Q164" s="258"/>
      <c r="R164" s="258"/>
      <c r="S164" s="258"/>
      <c r="T164" s="258"/>
      <c r="U164" s="258"/>
    </row>
    <row r="165" spans="1:21" ht="29.25" customHeight="1">
      <c r="A165" s="256"/>
      <c r="B165" s="256"/>
      <c r="C165" s="335"/>
      <c r="D165" s="335"/>
      <c r="E165" s="256"/>
      <c r="F165" s="256"/>
      <c r="G165" s="256"/>
      <c r="H165" s="261"/>
      <c r="I165" s="281"/>
      <c r="J165" s="256"/>
      <c r="K165" s="256"/>
      <c r="L165" s="258"/>
      <c r="M165" s="256"/>
      <c r="N165" s="337"/>
      <c r="O165" s="258"/>
      <c r="P165" s="258"/>
      <c r="Q165" s="258"/>
      <c r="R165" s="258"/>
      <c r="S165" s="258"/>
      <c r="T165" s="258"/>
      <c r="U165" s="258"/>
    </row>
    <row r="166" spans="1:21" ht="29.25" customHeight="1">
      <c r="A166" s="256"/>
      <c r="B166" s="256"/>
      <c r="C166" s="335"/>
      <c r="D166" s="335"/>
      <c r="E166" s="256"/>
      <c r="F166" s="256"/>
      <c r="G166" s="256"/>
      <c r="H166" s="261"/>
      <c r="I166" s="281"/>
      <c r="J166" s="256"/>
      <c r="K166" s="256"/>
      <c r="L166" s="258"/>
      <c r="M166" s="256"/>
      <c r="N166" s="337"/>
      <c r="O166" s="258"/>
      <c r="P166" s="258"/>
      <c r="Q166" s="258"/>
      <c r="R166" s="258"/>
      <c r="S166" s="258"/>
      <c r="T166" s="258"/>
      <c r="U166" s="258"/>
    </row>
    <row r="167" spans="1:21" ht="29.25" customHeight="1">
      <c r="A167" s="256"/>
      <c r="B167" s="256"/>
      <c r="C167" s="335"/>
      <c r="D167" s="335"/>
      <c r="E167" s="256"/>
      <c r="F167" s="256"/>
      <c r="G167" s="256"/>
      <c r="H167" s="261"/>
      <c r="I167" s="281"/>
      <c r="J167" s="256"/>
      <c r="K167" s="256"/>
      <c r="L167" s="258"/>
      <c r="M167" s="256"/>
      <c r="N167" s="337"/>
      <c r="O167" s="258"/>
      <c r="P167" s="258"/>
      <c r="Q167" s="258"/>
      <c r="R167" s="258"/>
      <c r="S167" s="258"/>
      <c r="T167" s="258"/>
      <c r="U167" s="258"/>
    </row>
    <row r="168" spans="1:21" ht="29.25" customHeight="1">
      <c r="A168" s="256"/>
      <c r="B168" s="256"/>
      <c r="C168" s="335"/>
      <c r="D168" s="335"/>
      <c r="E168" s="256"/>
      <c r="F168" s="256"/>
      <c r="G168" s="256"/>
      <c r="H168" s="261"/>
      <c r="I168" s="281"/>
      <c r="J168" s="256"/>
      <c r="K168" s="256"/>
      <c r="L168" s="258"/>
      <c r="M168" s="256"/>
      <c r="N168" s="337"/>
      <c r="O168" s="258"/>
      <c r="P168" s="258"/>
      <c r="Q168" s="258"/>
      <c r="R168" s="258"/>
      <c r="S168" s="258"/>
      <c r="T168" s="258"/>
      <c r="U168" s="258"/>
    </row>
    <row r="169" spans="1:21" ht="29.25" customHeight="1">
      <c r="A169" s="256"/>
      <c r="B169" s="256"/>
      <c r="C169" s="335"/>
      <c r="D169" s="335"/>
      <c r="E169" s="256"/>
      <c r="F169" s="256"/>
      <c r="G169" s="256"/>
      <c r="H169" s="261"/>
      <c r="I169" s="281"/>
      <c r="J169" s="256"/>
      <c r="K169" s="256"/>
      <c r="L169" s="258"/>
      <c r="M169" s="256"/>
      <c r="N169" s="337"/>
      <c r="O169" s="258"/>
      <c r="P169" s="258"/>
      <c r="Q169" s="258"/>
      <c r="R169" s="258"/>
      <c r="S169" s="258"/>
      <c r="T169" s="258"/>
      <c r="U169" s="258"/>
    </row>
    <row r="170" spans="1:21" ht="29.25" customHeight="1">
      <c r="A170" s="256"/>
      <c r="B170" s="256"/>
      <c r="C170" s="335"/>
      <c r="D170" s="335"/>
      <c r="E170" s="256"/>
      <c r="F170" s="256"/>
      <c r="G170" s="256"/>
      <c r="H170" s="261"/>
      <c r="I170" s="281"/>
      <c r="J170" s="256"/>
      <c r="K170" s="256"/>
      <c r="L170" s="258"/>
      <c r="M170" s="256"/>
      <c r="N170" s="337"/>
      <c r="O170" s="258"/>
      <c r="P170" s="258"/>
      <c r="Q170" s="258"/>
      <c r="R170" s="258"/>
      <c r="S170" s="258"/>
      <c r="T170" s="258"/>
      <c r="U170" s="258"/>
    </row>
    <row r="171" spans="1:21" ht="29.25" customHeight="1">
      <c r="A171" s="256"/>
      <c r="B171" s="256"/>
      <c r="C171" s="335"/>
      <c r="D171" s="335"/>
      <c r="E171" s="256"/>
      <c r="F171" s="256"/>
      <c r="G171" s="256"/>
      <c r="H171" s="261"/>
      <c r="I171" s="281"/>
      <c r="J171" s="256"/>
      <c r="K171" s="256"/>
      <c r="L171" s="258"/>
      <c r="M171" s="256"/>
      <c r="N171" s="337"/>
      <c r="O171" s="258"/>
      <c r="P171" s="258"/>
      <c r="Q171" s="258"/>
      <c r="R171" s="258"/>
      <c r="S171" s="258"/>
      <c r="T171" s="258"/>
      <c r="U171" s="258"/>
    </row>
    <row r="172" spans="1:21" ht="29.25" customHeight="1">
      <c r="A172" s="256"/>
      <c r="B172" s="256"/>
      <c r="C172" s="335"/>
      <c r="D172" s="335"/>
      <c r="E172" s="256"/>
      <c r="F172" s="256"/>
      <c r="G172" s="256"/>
      <c r="H172" s="261"/>
      <c r="I172" s="281"/>
      <c r="J172" s="256"/>
      <c r="K172" s="256"/>
      <c r="L172" s="258"/>
      <c r="M172" s="256"/>
      <c r="N172" s="337"/>
      <c r="O172" s="258"/>
      <c r="P172" s="258"/>
      <c r="Q172" s="258"/>
      <c r="R172" s="258"/>
      <c r="S172" s="258"/>
      <c r="T172" s="258"/>
      <c r="U172" s="258"/>
    </row>
    <row r="173" spans="1:21" ht="29.25" customHeight="1">
      <c r="A173" s="256"/>
      <c r="B173" s="256"/>
      <c r="C173" s="335"/>
      <c r="D173" s="335"/>
      <c r="E173" s="256"/>
      <c r="F173" s="256"/>
      <c r="G173" s="256"/>
      <c r="H173" s="261"/>
      <c r="I173" s="281"/>
      <c r="J173" s="256"/>
      <c r="K173" s="256"/>
      <c r="L173" s="258"/>
      <c r="M173" s="256"/>
      <c r="N173" s="337"/>
      <c r="O173" s="258"/>
      <c r="P173" s="258"/>
      <c r="Q173" s="258"/>
      <c r="R173" s="258"/>
      <c r="S173" s="258"/>
      <c r="T173" s="258"/>
      <c r="U173" s="258"/>
    </row>
    <row r="174" spans="1:21" ht="29.25" customHeight="1">
      <c r="A174" s="256"/>
      <c r="B174" s="256"/>
      <c r="C174" s="335"/>
      <c r="D174" s="335"/>
      <c r="E174" s="256"/>
      <c r="F174" s="256"/>
      <c r="G174" s="256"/>
      <c r="H174" s="261"/>
      <c r="I174" s="281"/>
      <c r="J174" s="256"/>
      <c r="K174" s="256"/>
      <c r="L174" s="258"/>
      <c r="M174" s="256"/>
      <c r="N174" s="337"/>
      <c r="O174" s="258"/>
      <c r="P174" s="258"/>
      <c r="Q174" s="258"/>
      <c r="R174" s="258"/>
      <c r="S174" s="258"/>
      <c r="T174" s="258"/>
      <c r="U174" s="258"/>
    </row>
    <row r="175" spans="1:21" ht="29.25" customHeight="1">
      <c r="A175" s="256"/>
      <c r="B175" s="256"/>
      <c r="C175" s="335"/>
      <c r="D175" s="335"/>
      <c r="E175" s="256"/>
      <c r="F175" s="256"/>
      <c r="G175" s="256"/>
      <c r="H175" s="261"/>
      <c r="I175" s="281"/>
      <c r="J175" s="256"/>
      <c r="K175" s="256"/>
      <c r="L175" s="258"/>
      <c r="M175" s="256"/>
      <c r="N175" s="337"/>
      <c r="O175" s="258"/>
      <c r="P175" s="258"/>
      <c r="Q175" s="258"/>
      <c r="R175" s="258"/>
      <c r="S175" s="258"/>
      <c r="T175" s="258"/>
      <c r="U175" s="258"/>
    </row>
    <row r="176" spans="1:21" ht="29.25" customHeight="1">
      <c r="A176" s="256"/>
      <c r="B176" s="256"/>
      <c r="C176" s="335"/>
      <c r="D176" s="335"/>
      <c r="E176" s="256"/>
      <c r="F176" s="256"/>
      <c r="G176" s="256"/>
      <c r="H176" s="261"/>
      <c r="I176" s="281"/>
      <c r="J176" s="256"/>
      <c r="K176" s="256"/>
      <c r="L176" s="258"/>
      <c r="M176" s="256"/>
      <c r="N176" s="337"/>
      <c r="O176" s="258"/>
      <c r="P176" s="258"/>
      <c r="Q176" s="258"/>
      <c r="R176" s="258"/>
      <c r="S176" s="258"/>
      <c r="T176" s="258"/>
      <c r="U176" s="258"/>
    </row>
    <row r="177" spans="9:9" ht="29.25" customHeight="1">
      <c r="I177" s="281"/>
    </row>
    <row r="178" spans="9:9" ht="29.25" customHeight="1">
      <c r="I178" s="281"/>
    </row>
    <row r="179" spans="9:9" ht="29.25" customHeight="1">
      <c r="I179" s="281"/>
    </row>
    <row r="180" spans="9:9" ht="29.25" customHeight="1">
      <c r="I180" s="281"/>
    </row>
    <row r="181" spans="9:9" ht="29.25" customHeight="1">
      <c r="I181" s="281"/>
    </row>
    <row r="182" spans="9:9" ht="29.25" customHeight="1">
      <c r="I182" s="281"/>
    </row>
    <row r="183" spans="9:9" ht="29.25" customHeight="1">
      <c r="I183" s="281"/>
    </row>
    <row r="184" spans="9:9" ht="29.25" customHeight="1">
      <c r="I184" s="281"/>
    </row>
    <row r="185" spans="9:9" ht="29.25" customHeight="1">
      <c r="I185" s="281"/>
    </row>
    <row r="186" spans="9:9" ht="29.25" customHeight="1">
      <c r="I186" s="281"/>
    </row>
    <row r="187" spans="9:9" ht="29.25" customHeight="1">
      <c r="I187" s="281"/>
    </row>
    <row r="188" spans="9:9" ht="29.25" customHeight="1">
      <c r="I188" s="281"/>
    </row>
    <row r="189" spans="9:9" ht="29.25" customHeight="1">
      <c r="I189" s="281"/>
    </row>
    <row r="190" spans="9:9" ht="29.25" customHeight="1">
      <c r="I190" s="281"/>
    </row>
    <row r="191" spans="9:9" ht="29.25" customHeight="1">
      <c r="I191" s="281"/>
    </row>
    <row r="192" spans="9:9" ht="29.25" customHeight="1">
      <c r="I192" s="281"/>
    </row>
    <row r="193" spans="9:9" ht="29.25" customHeight="1">
      <c r="I193" s="281"/>
    </row>
    <row r="194" spans="9:9" ht="29.25" customHeight="1">
      <c r="I194" s="281"/>
    </row>
    <row r="195" spans="9:9" ht="29.25" customHeight="1">
      <c r="I195" s="281"/>
    </row>
    <row r="196" spans="9:9" ht="29.25" customHeight="1">
      <c r="I196" s="281"/>
    </row>
    <row r="197" spans="9:9" ht="29.25" customHeight="1">
      <c r="I197" s="281"/>
    </row>
    <row r="198" spans="9:9" ht="29.25" customHeight="1">
      <c r="I198" s="281"/>
    </row>
    <row r="199" spans="9:9" ht="29.25" customHeight="1">
      <c r="I199" s="281"/>
    </row>
    <row r="200" spans="9:9" ht="29.25" customHeight="1">
      <c r="I200" s="281"/>
    </row>
    <row r="201" spans="9:9" ht="29.25" customHeight="1">
      <c r="I201" s="281"/>
    </row>
    <row r="202" spans="9:9" ht="29.25" customHeight="1">
      <c r="I202" s="281"/>
    </row>
    <row r="203" spans="9:9" ht="29.25" customHeight="1">
      <c r="I203" s="281"/>
    </row>
    <row r="204" spans="9:9" ht="29.25" customHeight="1">
      <c r="I204" s="281"/>
    </row>
    <row r="205" spans="9:9" ht="29.25" customHeight="1">
      <c r="I205" s="281"/>
    </row>
    <row r="206" spans="9:9" ht="29.25" customHeight="1">
      <c r="I206" s="281"/>
    </row>
    <row r="207" spans="9:9" ht="29.25" customHeight="1">
      <c r="I207" s="281"/>
    </row>
    <row r="208" spans="9:9" ht="29.25" customHeight="1">
      <c r="I208" s="281"/>
    </row>
    <row r="209" spans="9:9" ht="29.25" customHeight="1">
      <c r="I209" s="281"/>
    </row>
    <row r="210" spans="9:9" ht="29.25" customHeight="1">
      <c r="I210" s="281"/>
    </row>
    <row r="211" spans="9:9" ht="29.25" customHeight="1">
      <c r="I211" s="281"/>
    </row>
    <row r="212" spans="9:9" ht="29.25" customHeight="1">
      <c r="I212" s="281"/>
    </row>
    <row r="213" spans="9:9" ht="29.25" customHeight="1">
      <c r="I213" s="281"/>
    </row>
    <row r="214" spans="9:9" ht="29.25" customHeight="1">
      <c r="I214" s="281"/>
    </row>
    <row r="215" spans="9:9" ht="29.25" customHeight="1">
      <c r="I215" s="281"/>
    </row>
    <row r="216" spans="9:9" ht="29.25" customHeight="1">
      <c r="I216" s="281"/>
    </row>
    <row r="217" spans="9:9" ht="29.25" customHeight="1">
      <c r="I217" s="281"/>
    </row>
    <row r="218" spans="9:9" ht="29.25" customHeight="1">
      <c r="I218" s="281"/>
    </row>
    <row r="219" spans="9:9" ht="29.25" customHeight="1">
      <c r="I219" s="281"/>
    </row>
    <row r="220" spans="9:9" ht="29.25" customHeight="1">
      <c r="I220" s="281"/>
    </row>
    <row r="221" spans="9:9" ht="29.25" customHeight="1">
      <c r="I221" s="281"/>
    </row>
    <row r="222" spans="9:9" ht="29.25" customHeight="1">
      <c r="I222" s="281"/>
    </row>
    <row r="223" spans="9:9" ht="29.25" customHeight="1">
      <c r="I223" s="281"/>
    </row>
    <row r="224" spans="9:9" ht="29.25" customHeight="1">
      <c r="I224" s="281"/>
    </row>
    <row r="225" spans="9:9" ht="29.25" customHeight="1">
      <c r="I225" s="281"/>
    </row>
    <row r="226" spans="9:9" ht="29.25" customHeight="1">
      <c r="I226" s="281"/>
    </row>
    <row r="227" spans="9:9" ht="29.25" customHeight="1">
      <c r="I227" s="281"/>
    </row>
    <row r="228" spans="9:9" ht="29.25" customHeight="1">
      <c r="I228" s="281"/>
    </row>
    <row r="229" spans="9:9" ht="29.25" customHeight="1">
      <c r="I229" s="281"/>
    </row>
    <row r="230" spans="9:9" ht="29.25" customHeight="1">
      <c r="I230" s="281"/>
    </row>
    <row r="231" spans="9:9" ht="29.25" customHeight="1">
      <c r="I231" s="281"/>
    </row>
    <row r="232" spans="9:9" ht="29.25" customHeight="1">
      <c r="I232" s="281"/>
    </row>
    <row r="233" spans="9:9" ht="29.25" customHeight="1">
      <c r="I233" s="281"/>
    </row>
    <row r="234" spans="9:9" ht="29.25" customHeight="1">
      <c r="I234" s="281"/>
    </row>
    <row r="235" spans="9:9" ht="29.25" customHeight="1">
      <c r="I235" s="281"/>
    </row>
    <row r="236" spans="9:9" ht="29.25" customHeight="1">
      <c r="I236" s="281"/>
    </row>
    <row r="237" spans="9:9" ht="29.25" customHeight="1">
      <c r="I237" s="281"/>
    </row>
    <row r="238" spans="9:9" ht="29.25" customHeight="1">
      <c r="I238" s="281"/>
    </row>
    <row r="239" spans="9:9" ht="29.25" customHeight="1">
      <c r="I239" s="281"/>
    </row>
    <row r="240" spans="9:9" ht="29.25" customHeight="1">
      <c r="I240" s="281"/>
    </row>
    <row r="241" spans="9:9" ht="29.25" customHeight="1">
      <c r="I241" s="281"/>
    </row>
    <row r="242" spans="9:9" ht="29.25" customHeight="1">
      <c r="I242" s="281"/>
    </row>
    <row r="243" spans="9:9" ht="29.25" customHeight="1">
      <c r="I243" s="281"/>
    </row>
    <row r="244" spans="9:9" ht="29.25" customHeight="1">
      <c r="I244" s="281"/>
    </row>
    <row r="245" spans="9:9" ht="29.25" customHeight="1">
      <c r="I245" s="281"/>
    </row>
    <row r="246" spans="9:9" ht="29.25" customHeight="1">
      <c r="I246" s="281"/>
    </row>
    <row r="247" spans="9:9" ht="29.25" customHeight="1">
      <c r="I247" s="281"/>
    </row>
    <row r="248" spans="9:9" ht="29.25" customHeight="1">
      <c r="I248" s="281"/>
    </row>
    <row r="249" spans="9:9" ht="29.25" customHeight="1">
      <c r="I249" s="281"/>
    </row>
    <row r="250" spans="9:9" ht="29.25" customHeight="1">
      <c r="I250" s="281"/>
    </row>
    <row r="251" spans="9:9" ht="29.25" customHeight="1">
      <c r="I251" s="281"/>
    </row>
    <row r="252" spans="9:9" ht="29.25" customHeight="1">
      <c r="I252" s="281"/>
    </row>
    <row r="253" spans="9:9" ht="29.25" customHeight="1">
      <c r="I253" s="281"/>
    </row>
    <row r="254" spans="9:9" ht="29.25" customHeight="1">
      <c r="I254" s="281"/>
    </row>
    <row r="255" spans="9:9" ht="29.25" customHeight="1">
      <c r="I255" s="281"/>
    </row>
    <row r="256" spans="9:9" ht="29.25" customHeight="1">
      <c r="I256" s="281"/>
    </row>
    <row r="257" spans="9:9" ht="29.25" customHeight="1">
      <c r="I257" s="281"/>
    </row>
    <row r="258" spans="9:9" ht="29.25" customHeight="1">
      <c r="I258" s="281"/>
    </row>
    <row r="259" spans="9:9" ht="29.25" customHeight="1">
      <c r="I259" s="281"/>
    </row>
    <row r="260" spans="9:9" ht="29.25" customHeight="1">
      <c r="I260" s="281"/>
    </row>
    <row r="261" spans="9:9" ht="29.25" customHeight="1">
      <c r="I261" s="281"/>
    </row>
    <row r="262" spans="9:9" ht="29.25" customHeight="1">
      <c r="I262" s="281"/>
    </row>
    <row r="263" spans="9:9" ht="29.25" customHeight="1">
      <c r="I263" s="281"/>
    </row>
    <row r="264" spans="9:9" ht="29.25" customHeight="1">
      <c r="I264" s="281"/>
    </row>
    <row r="265" spans="9:9" ht="29.25" customHeight="1">
      <c r="I265" s="281"/>
    </row>
    <row r="266" spans="9:9" ht="29.25" customHeight="1">
      <c r="I266" s="281"/>
    </row>
    <row r="267" spans="9:9" ht="29.25" customHeight="1">
      <c r="I267" s="281"/>
    </row>
    <row r="268" spans="9:9" ht="29.25" customHeight="1">
      <c r="I268" s="281"/>
    </row>
    <row r="269" spans="9:9" ht="29.25" customHeight="1">
      <c r="I269" s="281"/>
    </row>
    <row r="270" spans="9:9" ht="29.25" customHeight="1">
      <c r="I270" s="281"/>
    </row>
    <row r="271" spans="9:9" ht="29.25" customHeight="1">
      <c r="I271" s="281"/>
    </row>
    <row r="272" spans="9:9" ht="29.25" customHeight="1">
      <c r="I272" s="281"/>
    </row>
    <row r="273" spans="9:9" ht="29.25" customHeight="1">
      <c r="I273" s="281"/>
    </row>
    <row r="274" spans="9:9" ht="29.25" customHeight="1">
      <c r="I274" s="281"/>
    </row>
    <row r="275" spans="9:9" ht="29.25" customHeight="1">
      <c r="I275" s="281"/>
    </row>
    <row r="276" spans="9:9" ht="29.25" customHeight="1">
      <c r="I276" s="281"/>
    </row>
    <row r="277" spans="9:9" ht="29.25" customHeight="1">
      <c r="I277" s="281"/>
    </row>
    <row r="278" spans="9:9" ht="29.25" customHeight="1">
      <c r="I278" s="281"/>
    </row>
    <row r="279" spans="9:9" ht="29.25" customHeight="1">
      <c r="I279" s="281"/>
    </row>
    <row r="280" spans="9:9" ht="29.25" customHeight="1">
      <c r="I280" s="281"/>
    </row>
    <row r="281" spans="9:9" ht="29.25" customHeight="1">
      <c r="I281" s="281"/>
    </row>
    <row r="282" spans="9:9" ht="29.25" customHeight="1">
      <c r="I282" s="281"/>
    </row>
    <row r="283" spans="9:9" ht="29.25" customHeight="1">
      <c r="I283" s="281"/>
    </row>
    <row r="284" spans="9:9" ht="29.25" customHeight="1">
      <c r="I284" s="281"/>
    </row>
    <row r="285" spans="9:9" ht="29.25" customHeight="1">
      <c r="I285" s="281"/>
    </row>
    <row r="286" spans="9:9" ht="29.25" customHeight="1">
      <c r="I286" s="281"/>
    </row>
    <row r="287" spans="9:9" ht="29.25" customHeight="1">
      <c r="I287" s="281"/>
    </row>
    <row r="288" spans="9:9" ht="29.25" customHeight="1">
      <c r="I288" s="281"/>
    </row>
    <row r="289" spans="9:9" ht="29.25" customHeight="1">
      <c r="I289" s="281"/>
    </row>
    <row r="290" spans="9:9" ht="29.25" customHeight="1">
      <c r="I290" s="281"/>
    </row>
    <row r="291" spans="9:9" ht="29.25" customHeight="1">
      <c r="I291" s="281"/>
    </row>
    <row r="292" spans="9:9" ht="29.25" customHeight="1">
      <c r="I292" s="281"/>
    </row>
    <row r="293" spans="9:9" ht="29.25" customHeight="1">
      <c r="I293" s="281"/>
    </row>
    <row r="294" spans="9:9" ht="29.25" customHeight="1">
      <c r="I294" s="281"/>
    </row>
    <row r="295" spans="9:9" ht="29.25" customHeight="1">
      <c r="I295" s="281"/>
    </row>
    <row r="296" spans="9:9" ht="29.25" customHeight="1">
      <c r="I296" s="281"/>
    </row>
    <row r="297" spans="9:9" ht="29.25" customHeight="1">
      <c r="I297" s="281"/>
    </row>
    <row r="298" spans="9:9" ht="29.25" customHeight="1">
      <c r="I298" s="281"/>
    </row>
    <row r="299" spans="9:9" ht="29.25" customHeight="1">
      <c r="I299" s="281"/>
    </row>
    <row r="300" spans="9:9" ht="29.25" customHeight="1">
      <c r="I300" s="281"/>
    </row>
    <row r="301" spans="9:9" ht="29.25" customHeight="1">
      <c r="I301" s="281"/>
    </row>
    <row r="302" spans="9:9" ht="29.25" customHeight="1">
      <c r="I302" s="281"/>
    </row>
    <row r="303" spans="9:9" ht="29.25" customHeight="1">
      <c r="I303" s="281"/>
    </row>
    <row r="304" spans="9:9" ht="29.25" customHeight="1">
      <c r="I304" s="281"/>
    </row>
    <row r="305" spans="9:9" ht="29.25" customHeight="1">
      <c r="I305" s="281"/>
    </row>
    <row r="306" spans="9:9" ht="29.25" customHeight="1">
      <c r="I306" s="281"/>
    </row>
    <row r="307" spans="9:9" ht="29.25" customHeight="1">
      <c r="I307" s="281"/>
    </row>
    <row r="308" spans="9:9" ht="29.25" customHeight="1">
      <c r="I308" s="281"/>
    </row>
    <row r="309" spans="9:9" ht="29.25" customHeight="1">
      <c r="I309" s="281"/>
    </row>
    <row r="310" spans="9:9" ht="29.25" customHeight="1">
      <c r="I310" s="281"/>
    </row>
    <row r="311" spans="9:9" ht="29.25" customHeight="1">
      <c r="I311" s="281"/>
    </row>
    <row r="312" spans="9:9" ht="29.25" customHeight="1">
      <c r="I312" s="281"/>
    </row>
    <row r="313" spans="9:9" ht="29.25" customHeight="1">
      <c r="I313" s="281"/>
    </row>
    <row r="314" spans="9:9" ht="29.25" customHeight="1">
      <c r="I314" s="281"/>
    </row>
    <row r="315" spans="9:9" ht="29.25" customHeight="1">
      <c r="I315" s="281"/>
    </row>
    <row r="316" spans="9:9" ht="29.25" customHeight="1">
      <c r="I316" s="281"/>
    </row>
    <row r="317" spans="9:9" ht="29.25" customHeight="1">
      <c r="I317" s="281"/>
    </row>
    <row r="318" spans="9:9" ht="29.25" customHeight="1">
      <c r="I318" s="281"/>
    </row>
    <row r="319" spans="9:9" ht="29.25" customHeight="1">
      <c r="I319" s="281"/>
    </row>
    <row r="320" spans="9:9" ht="29.25" customHeight="1">
      <c r="I320" s="281"/>
    </row>
    <row r="321" spans="9:9" ht="29.25" customHeight="1">
      <c r="I321" s="281"/>
    </row>
    <row r="322" spans="9:9" ht="29.25" customHeight="1">
      <c r="I322" s="281"/>
    </row>
    <row r="323" spans="9:9" ht="29.25" customHeight="1">
      <c r="I323" s="281"/>
    </row>
    <row r="324" spans="9:9" ht="29.25" customHeight="1">
      <c r="I324" s="281"/>
    </row>
    <row r="325" spans="9:9" ht="29.25" customHeight="1">
      <c r="I325" s="281"/>
    </row>
    <row r="326" spans="9:9" ht="29.25" customHeight="1">
      <c r="I326" s="281"/>
    </row>
    <row r="327" spans="9:9" ht="29.25" customHeight="1">
      <c r="I327" s="281"/>
    </row>
    <row r="328" spans="9:9" ht="29.25" customHeight="1">
      <c r="I328" s="281"/>
    </row>
    <row r="329" spans="9:9" ht="29.25" customHeight="1">
      <c r="I329" s="281"/>
    </row>
    <row r="330" spans="9:9" ht="29.25" customHeight="1">
      <c r="I330" s="281"/>
    </row>
    <row r="331" spans="9:9" ht="29.25" customHeight="1">
      <c r="I331" s="281"/>
    </row>
    <row r="332" spans="9:9" ht="29.25" customHeight="1">
      <c r="I332" s="281"/>
    </row>
    <row r="333" spans="9:9" ht="29.25" customHeight="1">
      <c r="I333" s="281"/>
    </row>
    <row r="334" spans="9:9" ht="29.25" customHeight="1">
      <c r="I334" s="281"/>
    </row>
    <row r="335" spans="9:9" ht="29.25" customHeight="1">
      <c r="I335" s="281"/>
    </row>
    <row r="336" spans="9:9" ht="29.25" customHeight="1">
      <c r="I336" s="281"/>
    </row>
    <row r="337" spans="9:9" ht="29.25" customHeight="1">
      <c r="I337" s="281"/>
    </row>
    <row r="338" spans="9:9" ht="29.25" customHeight="1">
      <c r="I338" s="281"/>
    </row>
    <row r="339" spans="9:9" ht="29.25" customHeight="1">
      <c r="I339" s="281"/>
    </row>
    <row r="340" spans="9:9" ht="29.25" customHeight="1">
      <c r="I340" s="281"/>
    </row>
    <row r="341" spans="9:9" ht="29.25" customHeight="1">
      <c r="I341" s="281"/>
    </row>
    <row r="342" spans="9:9" ht="29.25" customHeight="1">
      <c r="I342" s="281"/>
    </row>
    <row r="343" spans="9:9" ht="29.25" customHeight="1">
      <c r="I343" s="281"/>
    </row>
    <row r="344" spans="9:9" ht="29.25" customHeight="1">
      <c r="I344" s="281"/>
    </row>
    <row r="345" spans="9:9" ht="29.25" customHeight="1">
      <c r="I345" s="281"/>
    </row>
    <row r="346" spans="9:9" ht="29.25" customHeight="1">
      <c r="I346" s="281"/>
    </row>
    <row r="347" spans="9:9" ht="29.25" customHeight="1">
      <c r="I347" s="281"/>
    </row>
    <row r="348" spans="9:9" ht="29.25" customHeight="1">
      <c r="I348" s="281"/>
    </row>
    <row r="349" spans="9:9" ht="29.25" customHeight="1">
      <c r="I349" s="281"/>
    </row>
    <row r="350" spans="9:9" ht="29.25" customHeight="1">
      <c r="I350" s="281"/>
    </row>
    <row r="351" spans="9:9" ht="29.25" customHeight="1">
      <c r="I351" s="281"/>
    </row>
    <row r="352" spans="9:9" ht="29.25" customHeight="1">
      <c r="I352" s="281"/>
    </row>
    <row r="353" spans="9:9" ht="29.25" customHeight="1">
      <c r="I353" s="281"/>
    </row>
    <row r="354" spans="9:9" ht="29.25" customHeight="1">
      <c r="I354" s="281"/>
    </row>
    <row r="355" spans="9:9" ht="29.25" customHeight="1">
      <c r="I355" s="281"/>
    </row>
    <row r="356" spans="9:9" ht="29.25" customHeight="1">
      <c r="I356" s="281"/>
    </row>
    <row r="357" spans="9:9" ht="29.25" customHeight="1">
      <c r="I357" s="281"/>
    </row>
    <row r="358" spans="9:9" ht="29.25" customHeight="1">
      <c r="I358" s="281"/>
    </row>
    <row r="359" spans="9:9" ht="29.25" customHeight="1">
      <c r="I359" s="281"/>
    </row>
    <row r="360" spans="9:9" ht="29.25" customHeight="1">
      <c r="I360" s="281"/>
    </row>
    <row r="361" spans="9:9" ht="29.25" customHeight="1">
      <c r="I361" s="281"/>
    </row>
    <row r="362" spans="9:9" ht="29.25" customHeight="1">
      <c r="I362" s="281"/>
    </row>
    <row r="363" spans="9:9" ht="29.25" customHeight="1">
      <c r="I363" s="281"/>
    </row>
    <row r="364" spans="9:9" ht="29.25" customHeight="1">
      <c r="I364" s="281"/>
    </row>
    <row r="365" spans="9:9" ht="29.25" customHeight="1">
      <c r="I365" s="281"/>
    </row>
    <row r="366" spans="9:9" ht="29.25" customHeight="1">
      <c r="I366" s="281"/>
    </row>
    <row r="367" spans="9:9" ht="29.25" customHeight="1">
      <c r="I367" s="281"/>
    </row>
    <row r="368" spans="9:9" ht="29.25" customHeight="1">
      <c r="I368" s="281"/>
    </row>
    <row r="369" spans="9:9" ht="29.25" customHeight="1">
      <c r="I369" s="281"/>
    </row>
    <row r="370" spans="9:9" ht="29.25" customHeight="1">
      <c r="I370" s="281"/>
    </row>
    <row r="371" spans="9:9" ht="29.25" customHeight="1">
      <c r="I371" s="281"/>
    </row>
    <row r="372" spans="9:9" ht="29.25" customHeight="1">
      <c r="I372" s="281"/>
    </row>
    <row r="373" spans="9:9" ht="29.25" customHeight="1">
      <c r="I373" s="281"/>
    </row>
    <row r="374" spans="9:9" ht="29.25" customHeight="1">
      <c r="I374" s="281"/>
    </row>
    <row r="375" spans="9:9" ht="29.25" customHeight="1">
      <c r="I375" s="281"/>
    </row>
    <row r="376" spans="9:9" ht="29.25" customHeight="1">
      <c r="I376" s="281"/>
    </row>
    <row r="377" spans="9:9" ht="29.25" customHeight="1">
      <c r="I377" s="281"/>
    </row>
    <row r="378" spans="9:9" ht="29.25" customHeight="1">
      <c r="I378" s="281"/>
    </row>
    <row r="379" spans="9:9" ht="29.25" customHeight="1">
      <c r="I379" s="281"/>
    </row>
    <row r="380" spans="9:9" ht="29.25" customHeight="1">
      <c r="I380" s="281"/>
    </row>
    <row r="381" spans="9:9" ht="29.25" customHeight="1">
      <c r="I381" s="281"/>
    </row>
    <row r="382" spans="9:9" ht="29.25" customHeight="1">
      <c r="I382" s="281"/>
    </row>
    <row r="383" spans="9:9" ht="29.25" customHeight="1">
      <c r="I383" s="281"/>
    </row>
    <row r="384" spans="9:9" ht="29.25" customHeight="1">
      <c r="I384" s="281"/>
    </row>
    <row r="385" spans="9:9" ht="29.25" customHeight="1">
      <c r="I385" s="281"/>
    </row>
    <row r="386" spans="9:9" ht="29.25" customHeight="1">
      <c r="I386" s="281"/>
    </row>
    <row r="387" spans="9:9" ht="29.25" customHeight="1">
      <c r="I387" s="281"/>
    </row>
    <row r="388" spans="9:9" ht="29.25" customHeight="1">
      <c r="I388" s="281"/>
    </row>
    <row r="389" spans="9:9" ht="29.25" customHeight="1">
      <c r="I389" s="281"/>
    </row>
    <row r="390" spans="9:9" ht="29.25" customHeight="1">
      <c r="I390" s="281"/>
    </row>
    <row r="391" spans="9:9" ht="29.25" customHeight="1">
      <c r="I391" s="281"/>
    </row>
    <row r="392" spans="9:9" ht="29.25" customHeight="1">
      <c r="I392" s="281"/>
    </row>
    <row r="393" spans="9:9" ht="29.25" customHeight="1">
      <c r="I393" s="281"/>
    </row>
    <row r="394" spans="9:9" ht="29.25" customHeight="1">
      <c r="I394" s="281"/>
    </row>
    <row r="395" spans="9:9" ht="29.25" customHeight="1">
      <c r="I395" s="281"/>
    </row>
    <row r="396" spans="9:9" ht="29.25" customHeight="1">
      <c r="I396" s="281"/>
    </row>
    <row r="397" spans="9:9" ht="29.25" customHeight="1">
      <c r="I397" s="281"/>
    </row>
    <row r="398" spans="9:9" ht="29.25" customHeight="1">
      <c r="I398" s="281"/>
    </row>
    <row r="399" spans="9:9" ht="29.25" customHeight="1">
      <c r="I399" s="281"/>
    </row>
    <row r="400" spans="9:9" ht="29.25" customHeight="1">
      <c r="I400" s="281"/>
    </row>
    <row r="401" spans="9:9" ht="29.25" customHeight="1">
      <c r="I401" s="281"/>
    </row>
    <row r="402" spans="9:9" ht="29.25" customHeight="1">
      <c r="I402" s="281"/>
    </row>
    <row r="403" spans="9:9" ht="29.25" customHeight="1">
      <c r="I403" s="281"/>
    </row>
    <row r="404" spans="9:9" ht="29.25" customHeight="1">
      <c r="I404" s="281"/>
    </row>
    <row r="405" spans="9:9" ht="29.25" customHeight="1">
      <c r="I405" s="281"/>
    </row>
    <row r="406" spans="9:9" ht="29.25" customHeight="1">
      <c r="I406" s="281"/>
    </row>
    <row r="407" spans="9:9" ht="29.25" customHeight="1">
      <c r="I407" s="281"/>
    </row>
    <row r="408" spans="9:9" ht="29.25" customHeight="1">
      <c r="I408" s="281"/>
    </row>
    <row r="409" spans="9:9" ht="29.25" customHeight="1">
      <c r="I409" s="281"/>
    </row>
    <row r="410" spans="9:9" ht="29.25" customHeight="1">
      <c r="I410" s="281"/>
    </row>
    <row r="411" spans="9:9" ht="29.25" customHeight="1">
      <c r="I411" s="281"/>
    </row>
    <row r="412" spans="9:9" ht="29.25" customHeight="1">
      <c r="I412" s="281"/>
    </row>
    <row r="413" spans="9:9" ht="29.25" customHeight="1">
      <c r="I413" s="281"/>
    </row>
    <row r="414" spans="9:9" ht="29.25" customHeight="1">
      <c r="I414" s="281"/>
    </row>
    <row r="415" spans="9:9" ht="29.25" customHeight="1">
      <c r="I415" s="281"/>
    </row>
    <row r="416" spans="9:9" ht="29.25" customHeight="1">
      <c r="I416" s="281"/>
    </row>
    <row r="417" spans="9:9" ht="29.25" customHeight="1">
      <c r="I417" s="281"/>
    </row>
    <row r="418" spans="9:9" ht="29.25" customHeight="1">
      <c r="I418" s="281"/>
    </row>
    <row r="419" spans="9:9" ht="29.25" customHeight="1">
      <c r="I419" s="281"/>
    </row>
    <row r="420" spans="9:9" ht="29.25" customHeight="1">
      <c r="I420" s="281"/>
    </row>
    <row r="421" spans="9:9" ht="29.25" customHeight="1">
      <c r="I421" s="281"/>
    </row>
    <row r="422" spans="9:9" ht="29.25" customHeight="1">
      <c r="I422" s="281"/>
    </row>
    <row r="423" spans="9:9" ht="29.25" customHeight="1">
      <c r="I423" s="281"/>
    </row>
    <row r="424" spans="9:9" ht="29.25" customHeight="1">
      <c r="I424" s="281"/>
    </row>
    <row r="425" spans="9:9" ht="29.25" customHeight="1">
      <c r="I425" s="281"/>
    </row>
    <row r="426" spans="9:9" ht="29.25" customHeight="1">
      <c r="I426" s="281"/>
    </row>
    <row r="427" spans="9:9" ht="29.25" customHeight="1">
      <c r="I427" s="281"/>
    </row>
    <row r="428" spans="9:9" ht="29.25" customHeight="1">
      <c r="I428" s="281"/>
    </row>
    <row r="429" spans="9:9" ht="29.25" customHeight="1">
      <c r="I429" s="281"/>
    </row>
    <row r="430" spans="9:9" ht="29.25" customHeight="1">
      <c r="I430" s="281"/>
    </row>
    <row r="431" spans="9:9" ht="29.25" customHeight="1">
      <c r="I431" s="281"/>
    </row>
    <row r="432" spans="9:9" ht="29.25" customHeight="1">
      <c r="I432" s="281"/>
    </row>
    <row r="433" spans="9:9" ht="29.25" customHeight="1">
      <c r="I433" s="281"/>
    </row>
    <row r="434" spans="9:9" ht="29.25" customHeight="1">
      <c r="I434" s="281"/>
    </row>
    <row r="435" spans="9:9" ht="29.25" customHeight="1">
      <c r="I435" s="281"/>
    </row>
    <row r="436" spans="9:9" ht="29.25" customHeight="1">
      <c r="I436" s="281"/>
    </row>
    <row r="437" spans="9:9" ht="29.25" customHeight="1">
      <c r="I437" s="281"/>
    </row>
    <row r="438" spans="9:9" ht="29.25" customHeight="1">
      <c r="I438" s="281"/>
    </row>
    <row r="439" spans="9:9" ht="29.25" customHeight="1">
      <c r="I439" s="281"/>
    </row>
    <row r="440" spans="9:9" ht="29.25" customHeight="1">
      <c r="I440" s="281"/>
    </row>
    <row r="441" spans="9:9" ht="29.25" customHeight="1">
      <c r="I441" s="281"/>
    </row>
    <row r="442" spans="9:9" ht="29.25" customHeight="1">
      <c r="I442" s="281"/>
    </row>
    <row r="443" spans="9:9" ht="29.25" customHeight="1">
      <c r="I443" s="281"/>
    </row>
    <row r="444" spans="9:9" ht="29.25" customHeight="1">
      <c r="I444" s="281"/>
    </row>
    <row r="445" spans="9:9" ht="29.25" customHeight="1">
      <c r="I445" s="281"/>
    </row>
    <row r="446" spans="9:9" ht="29.25" customHeight="1">
      <c r="I446" s="281"/>
    </row>
    <row r="447" spans="9:9" ht="29.25" customHeight="1">
      <c r="I447" s="281"/>
    </row>
    <row r="448" spans="9:9" ht="29.25" customHeight="1">
      <c r="I448" s="281"/>
    </row>
    <row r="449" spans="9:9" ht="29.25" customHeight="1">
      <c r="I449" s="281"/>
    </row>
    <row r="450" spans="9:9" ht="29.25" customHeight="1">
      <c r="I450" s="281"/>
    </row>
    <row r="451" spans="9:9" ht="29.25" customHeight="1">
      <c r="I451" s="281"/>
    </row>
    <row r="452" spans="9:9" ht="29.25" customHeight="1">
      <c r="I452" s="281"/>
    </row>
    <row r="453" spans="9:9" ht="29.25" customHeight="1">
      <c r="I453" s="281"/>
    </row>
    <row r="454" spans="9:9" ht="29.25" customHeight="1">
      <c r="I454" s="281"/>
    </row>
    <row r="455" spans="9:9" ht="29.25" customHeight="1">
      <c r="I455" s="281"/>
    </row>
    <row r="456" spans="9:9" ht="29.25" customHeight="1">
      <c r="I456" s="281"/>
    </row>
    <row r="457" spans="9:9" ht="29.25" customHeight="1">
      <c r="I457" s="281"/>
    </row>
    <row r="458" spans="9:9" ht="29.25" customHeight="1">
      <c r="I458" s="281"/>
    </row>
    <row r="459" spans="9:9" ht="29.25" customHeight="1">
      <c r="I459" s="281"/>
    </row>
    <row r="460" spans="9:9" ht="29.25" customHeight="1">
      <c r="I460" s="281"/>
    </row>
    <row r="461" spans="9:9" ht="29.25" customHeight="1">
      <c r="I461" s="281"/>
    </row>
    <row r="462" spans="9:9" ht="29.25" customHeight="1">
      <c r="I462" s="281"/>
    </row>
    <row r="463" spans="9:9" ht="29.25" customHeight="1">
      <c r="I463" s="281"/>
    </row>
    <row r="464" spans="9:9" ht="29.25" customHeight="1">
      <c r="I464" s="281"/>
    </row>
    <row r="465" spans="9:9" ht="29.25" customHeight="1">
      <c r="I465" s="281"/>
    </row>
    <row r="466" spans="9:9" ht="29.25" customHeight="1">
      <c r="I466" s="281"/>
    </row>
    <row r="467" spans="9:9" ht="29.25" customHeight="1">
      <c r="I467" s="281"/>
    </row>
    <row r="468" spans="9:9" ht="29.25" customHeight="1">
      <c r="I468" s="281"/>
    </row>
    <row r="469" spans="9:9" ht="29.25" customHeight="1">
      <c r="I469" s="281"/>
    </row>
    <row r="470" spans="9:9" ht="29.25" customHeight="1">
      <c r="I470" s="281"/>
    </row>
    <row r="471" spans="9:9" ht="29.25" customHeight="1">
      <c r="I471" s="281"/>
    </row>
    <row r="472" spans="9:9" ht="29.25" customHeight="1">
      <c r="I472" s="281"/>
    </row>
    <row r="473" spans="9:9" ht="29.25" customHeight="1">
      <c r="I473" s="281"/>
    </row>
    <row r="474" spans="9:9" ht="29.25" customHeight="1">
      <c r="I474" s="281"/>
    </row>
    <row r="475" spans="9:9" ht="29.25" customHeight="1">
      <c r="I475" s="281"/>
    </row>
    <row r="476" spans="9:9" ht="29.25" customHeight="1">
      <c r="I476" s="281"/>
    </row>
    <row r="477" spans="9:9" ht="29.25" customHeight="1">
      <c r="I477" s="281"/>
    </row>
    <row r="478" spans="9:9" ht="29.25" customHeight="1">
      <c r="I478" s="281"/>
    </row>
    <row r="479" spans="9:9" ht="29.25" customHeight="1">
      <c r="I479" s="281"/>
    </row>
    <row r="480" spans="9:9" ht="29.25" customHeight="1">
      <c r="I480" s="281"/>
    </row>
    <row r="481" spans="9:9" ht="29.25" customHeight="1">
      <c r="I481" s="281"/>
    </row>
    <row r="482" spans="9:9" ht="29.25" customHeight="1">
      <c r="I482" s="281"/>
    </row>
    <row r="483" spans="9:9" ht="29.25" customHeight="1">
      <c r="I483" s="281"/>
    </row>
    <row r="484" spans="9:9" ht="29.25" customHeight="1">
      <c r="I484" s="281"/>
    </row>
    <row r="485" spans="9:9" ht="29.25" customHeight="1">
      <c r="I485" s="281"/>
    </row>
    <row r="486" spans="9:9" ht="29.25" customHeight="1">
      <c r="I486" s="281"/>
    </row>
    <row r="487" spans="9:9" ht="29.25" customHeight="1">
      <c r="I487" s="281"/>
    </row>
    <row r="488" spans="9:9" ht="29.25" customHeight="1">
      <c r="I488" s="281"/>
    </row>
    <row r="489" spans="9:9" ht="29.25" customHeight="1">
      <c r="I489" s="281"/>
    </row>
    <row r="490" spans="9:9" ht="29.25" customHeight="1">
      <c r="I490" s="281"/>
    </row>
    <row r="491" spans="9:9" ht="29.25" customHeight="1">
      <c r="I491" s="281"/>
    </row>
    <row r="492" spans="9:9" ht="29.25" customHeight="1">
      <c r="I492" s="281"/>
    </row>
    <row r="493" spans="9:9" ht="29.25" customHeight="1">
      <c r="I493" s="281"/>
    </row>
    <row r="494" spans="9:9" ht="29.25" customHeight="1">
      <c r="I494" s="281"/>
    </row>
    <row r="495" spans="9:9" ht="29.25" customHeight="1">
      <c r="I495" s="281"/>
    </row>
    <row r="496" spans="9:9" ht="29.25" customHeight="1">
      <c r="I496" s="281"/>
    </row>
    <row r="497" spans="9:9" ht="29.25" customHeight="1">
      <c r="I497" s="281"/>
    </row>
    <row r="498" spans="9:9" ht="29.25" customHeight="1">
      <c r="I498" s="281"/>
    </row>
    <row r="499" spans="9:9" ht="29.25" customHeight="1">
      <c r="I499" s="281"/>
    </row>
    <row r="500" spans="9:9" ht="29.25" customHeight="1">
      <c r="I500" s="281"/>
    </row>
    <row r="501" spans="9:9" ht="29.25" customHeight="1">
      <c r="I501" s="281"/>
    </row>
    <row r="502" spans="9:9" ht="29.25" customHeight="1">
      <c r="I502" s="281"/>
    </row>
    <row r="503" spans="9:9" ht="29.25" customHeight="1">
      <c r="I503" s="281"/>
    </row>
    <row r="504" spans="9:9" ht="29.25" customHeight="1">
      <c r="I504" s="281"/>
    </row>
    <row r="505" spans="9:9" ht="29.25" customHeight="1">
      <c r="I505" s="281"/>
    </row>
    <row r="506" spans="9:9" ht="29.25" customHeight="1">
      <c r="I506" s="281"/>
    </row>
    <row r="507" spans="9:9" ht="29.25" customHeight="1">
      <c r="I507" s="281"/>
    </row>
    <row r="508" spans="9:9" ht="29.25" customHeight="1">
      <c r="I508" s="281"/>
    </row>
    <row r="509" spans="9:9" ht="29.25" customHeight="1">
      <c r="I509" s="281"/>
    </row>
    <row r="510" spans="9:9" ht="29.25" customHeight="1">
      <c r="I510" s="281"/>
    </row>
    <row r="511" spans="9:9" ht="29.25" customHeight="1">
      <c r="I511" s="281"/>
    </row>
    <row r="512" spans="9:9" ht="29.25" customHeight="1">
      <c r="I512" s="281"/>
    </row>
    <row r="513" spans="9:9" ht="29.25" customHeight="1">
      <c r="I513" s="281"/>
    </row>
    <row r="514" spans="9:9" ht="29.25" customHeight="1">
      <c r="I514" s="281"/>
    </row>
    <row r="515" spans="9:9" ht="29.25" customHeight="1">
      <c r="I515" s="281"/>
    </row>
    <row r="516" spans="9:9" ht="29.25" customHeight="1">
      <c r="I516" s="281"/>
    </row>
    <row r="517" spans="9:9" ht="29.25" customHeight="1">
      <c r="I517" s="281"/>
    </row>
    <row r="518" spans="9:9" ht="29.25" customHeight="1">
      <c r="I518" s="281"/>
    </row>
    <row r="519" spans="9:9" ht="29.25" customHeight="1">
      <c r="I519" s="281"/>
    </row>
    <row r="520" spans="9:9" ht="29.25" customHeight="1">
      <c r="I520" s="281"/>
    </row>
    <row r="521" spans="9:9" ht="29.25" customHeight="1">
      <c r="I521" s="281"/>
    </row>
    <row r="522" spans="9:9" ht="29.25" customHeight="1">
      <c r="I522" s="281"/>
    </row>
    <row r="523" spans="9:9" ht="29.25" customHeight="1">
      <c r="I523" s="281"/>
    </row>
    <row r="524" spans="9:9" ht="29.25" customHeight="1">
      <c r="I524" s="281"/>
    </row>
    <row r="525" spans="9:9" ht="29.25" customHeight="1">
      <c r="I525" s="281"/>
    </row>
    <row r="526" spans="9:9" ht="29.25" customHeight="1">
      <c r="I526" s="281"/>
    </row>
    <row r="527" spans="9:9" ht="29.25" customHeight="1">
      <c r="I527" s="281"/>
    </row>
    <row r="528" spans="9:9" ht="29.25" customHeight="1">
      <c r="I528" s="281"/>
    </row>
    <row r="529" spans="9:9" ht="29.25" customHeight="1">
      <c r="I529" s="281"/>
    </row>
    <row r="530" spans="9:9" ht="29.25" customHeight="1">
      <c r="I530" s="281"/>
    </row>
    <row r="531" spans="9:9" ht="29.25" customHeight="1">
      <c r="I531" s="281"/>
    </row>
    <row r="532" spans="9:9" ht="29.25" customHeight="1">
      <c r="I532" s="281"/>
    </row>
    <row r="533" spans="9:9" ht="29.25" customHeight="1">
      <c r="I533" s="281"/>
    </row>
    <row r="534" spans="9:9" ht="29.25" customHeight="1">
      <c r="I534" s="281"/>
    </row>
    <row r="535" spans="9:9" ht="29.25" customHeight="1">
      <c r="I535" s="281"/>
    </row>
    <row r="536" spans="9:9" ht="29.25" customHeight="1">
      <c r="I536" s="281"/>
    </row>
    <row r="537" spans="9:9" ht="29.25" customHeight="1">
      <c r="I537" s="281"/>
    </row>
    <row r="538" spans="9:9" ht="29.25" customHeight="1">
      <c r="I538" s="281"/>
    </row>
    <row r="539" spans="9:9" ht="29.25" customHeight="1">
      <c r="I539" s="281"/>
    </row>
    <row r="540" spans="9:9" ht="29.25" customHeight="1">
      <c r="I540" s="281"/>
    </row>
    <row r="541" spans="9:9" ht="29.25" customHeight="1">
      <c r="I541" s="281"/>
    </row>
    <row r="542" spans="9:9" ht="29.25" customHeight="1">
      <c r="I542" s="281"/>
    </row>
    <row r="543" spans="9:9" ht="29.25" customHeight="1">
      <c r="I543" s="281"/>
    </row>
    <row r="544" spans="9:9" ht="29.25" customHeight="1">
      <c r="I544" s="281"/>
    </row>
    <row r="545" spans="9:9" ht="29.25" customHeight="1">
      <c r="I545" s="281"/>
    </row>
    <row r="546" spans="9:9" ht="29.25" customHeight="1">
      <c r="I546" s="281"/>
    </row>
    <row r="547" spans="9:9" ht="29.25" customHeight="1">
      <c r="I547" s="281"/>
    </row>
    <row r="548" spans="9:9" ht="29.25" customHeight="1">
      <c r="I548" s="281"/>
    </row>
    <row r="549" spans="9:9" ht="29.25" customHeight="1">
      <c r="I549" s="281"/>
    </row>
    <row r="550" spans="9:9" ht="29.25" customHeight="1">
      <c r="I550" s="281"/>
    </row>
    <row r="551" spans="9:9" ht="29.25" customHeight="1">
      <c r="I551" s="281"/>
    </row>
    <row r="552" spans="9:9" ht="29.25" customHeight="1">
      <c r="I552" s="281"/>
    </row>
    <row r="553" spans="9:9" ht="29.25" customHeight="1">
      <c r="I553" s="281"/>
    </row>
    <row r="554" spans="9:9" ht="29.25" customHeight="1">
      <c r="I554" s="281"/>
    </row>
    <row r="555" spans="9:9" ht="29.25" customHeight="1">
      <c r="I555" s="281"/>
    </row>
    <row r="556" spans="9:9" ht="29.25" customHeight="1">
      <c r="I556" s="281"/>
    </row>
    <row r="557" spans="9:9" ht="29.25" customHeight="1">
      <c r="I557" s="281"/>
    </row>
    <row r="558" spans="9:9" ht="29.25" customHeight="1">
      <c r="I558" s="281"/>
    </row>
    <row r="559" spans="9:9" ht="29.25" customHeight="1">
      <c r="I559" s="281"/>
    </row>
    <row r="560" spans="9:9" ht="29.25" customHeight="1">
      <c r="I560" s="281"/>
    </row>
    <row r="561" spans="9:9" ht="29.25" customHeight="1">
      <c r="I561" s="281"/>
    </row>
    <row r="562" spans="9:9" ht="29.25" customHeight="1">
      <c r="I562" s="281"/>
    </row>
    <row r="563" spans="9:9" ht="29.25" customHeight="1">
      <c r="I563" s="281"/>
    </row>
    <row r="564" spans="9:9" ht="29.25" customHeight="1">
      <c r="I564" s="281"/>
    </row>
    <row r="565" spans="9:9" ht="29.25" customHeight="1">
      <c r="I565" s="281"/>
    </row>
    <row r="566" spans="9:9" ht="29.25" customHeight="1">
      <c r="I566" s="281"/>
    </row>
    <row r="567" spans="9:9" ht="29.25" customHeight="1">
      <c r="I567" s="281"/>
    </row>
    <row r="568" spans="9:9" ht="29.25" customHeight="1">
      <c r="I568" s="281"/>
    </row>
    <row r="569" spans="9:9" ht="29.25" customHeight="1">
      <c r="I569" s="281"/>
    </row>
    <row r="570" spans="9:9" ht="29.25" customHeight="1">
      <c r="I570" s="281"/>
    </row>
    <row r="571" spans="9:9" ht="29.25" customHeight="1">
      <c r="I571" s="281"/>
    </row>
    <row r="572" spans="9:9" ht="29.25" customHeight="1">
      <c r="I572" s="281"/>
    </row>
    <row r="573" spans="9:9" ht="29.25" customHeight="1">
      <c r="I573" s="281"/>
    </row>
    <row r="574" spans="9:9" ht="29.25" customHeight="1">
      <c r="I574" s="281"/>
    </row>
    <row r="575" spans="9:9" ht="29.25" customHeight="1">
      <c r="I575" s="281"/>
    </row>
    <row r="576" spans="9:9" ht="29.25" customHeight="1">
      <c r="I576" s="281"/>
    </row>
    <row r="577" spans="9:9" ht="29.25" customHeight="1">
      <c r="I577" s="281"/>
    </row>
    <row r="578" spans="9:9" ht="29.25" customHeight="1">
      <c r="I578" s="281"/>
    </row>
    <row r="579" spans="9:9" ht="29.25" customHeight="1">
      <c r="I579" s="281"/>
    </row>
    <row r="580" spans="9:9" ht="29.25" customHeight="1">
      <c r="I580" s="281"/>
    </row>
    <row r="581" spans="9:9" ht="29.25" customHeight="1">
      <c r="I581" s="281"/>
    </row>
    <row r="582" spans="9:9" ht="29.25" customHeight="1">
      <c r="I582" s="281"/>
    </row>
    <row r="583" spans="9:9" ht="29.25" customHeight="1">
      <c r="I583" s="281"/>
    </row>
    <row r="584" spans="9:9" ht="29.25" customHeight="1">
      <c r="I584" s="281"/>
    </row>
    <row r="585" spans="9:9" ht="29.25" customHeight="1">
      <c r="I585" s="281"/>
    </row>
    <row r="586" spans="9:9" ht="29.25" customHeight="1">
      <c r="I586" s="281"/>
    </row>
    <row r="587" spans="9:9" ht="29.25" customHeight="1">
      <c r="I587" s="281"/>
    </row>
    <row r="588" spans="9:9" ht="29.25" customHeight="1">
      <c r="I588" s="281"/>
    </row>
    <row r="589" spans="9:9" ht="29.25" customHeight="1">
      <c r="I589" s="281"/>
    </row>
    <row r="590" spans="9:9" ht="29.25" customHeight="1">
      <c r="I590" s="281"/>
    </row>
    <row r="591" spans="9:9" ht="29.25" customHeight="1">
      <c r="I591" s="281"/>
    </row>
    <row r="592" spans="9:9" ht="29.25" customHeight="1">
      <c r="I592" s="281"/>
    </row>
    <row r="593" spans="9:9" ht="29.25" customHeight="1">
      <c r="I593" s="281"/>
    </row>
    <row r="594" spans="9:9" ht="29.25" customHeight="1">
      <c r="I594" s="281"/>
    </row>
    <row r="595" spans="9:9" ht="29.25" customHeight="1">
      <c r="I595" s="281"/>
    </row>
    <row r="596" spans="9:9" ht="29.25" customHeight="1">
      <c r="I596" s="281"/>
    </row>
    <row r="597" spans="9:9" ht="29.25" customHeight="1">
      <c r="I597" s="281"/>
    </row>
    <row r="598" spans="9:9" ht="29.25" customHeight="1">
      <c r="I598" s="281"/>
    </row>
    <row r="599" spans="9:9" ht="29.25" customHeight="1">
      <c r="I599" s="281"/>
    </row>
    <row r="600" spans="9:9" ht="29.25" customHeight="1">
      <c r="I600" s="281"/>
    </row>
    <row r="601" spans="9:9" ht="29.25" customHeight="1">
      <c r="I601" s="281"/>
    </row>
    <row r="602" spans="9:9" ht="29.25" customHeight="1">
      <c r="I602" s="281"/>
    </row>
    <row r="603" spans="9:9" ht="29.25" customHeight="1">
      <c r="I603" s="281"/>
    </row>
    <row r="604" spans="9:9" ht="29.25" customHeight="1">
      <c r="I604" s="281"/>
    </row>
    <row r="605" spans="9:9" ht="29.25" customHeight="1">
      <c r="I605" s="281"/>
    </row>
    <row r="606" spans="9:9" ht="29.25" customHeight="1">
      <c r="I606" s="281"/>
    </row>
    <row r="607" spans="9:9" ht="29.25" customHeight="1">
      <c r="I607" s="281"/>
    </row>
    <row r="608" spans="9:9" ht="29.25" customHeight="1">
      <c r="I608" s="281"/>
    </row>
    <row r="609" spans="9:9" ht="29.25" customHeight="1">
      <c r="I609" s="281"/>
    </row>
    <row r="610" spans="9:9" ht="29.25" customHeight="1">
      <c r="I610" s="281"/>
    </row>
    <row r="611" spans="9:9" ht="29.25" customHeight="1">
      <c r="I611" s="281"/>
    </row>
    <row r="612" spans="9:9" ht="29.25" customHeight="1">
      <c r="I612" s="281"/>
    </row>
    <row r="613" spans="9:9" ht="29.25" customHeight="1">
      <c r="I613" s="281"/>
    </row>
    <row r="614" spans="9:9" ht="29.25" customHeight="1">
      <c r="I614" s="281"/>
    </row>
    <row r="615" spans="9:9" ht="29.25" customHeight="1">
      <c r="I615" s="281"/>
    </row>
    <row r="616" spans="9:9" ht="29.25" customHeight="1">
      <c r="I616" s="281"/>
    </row>
    <row r="617" spans="9:9" ht="29.25" customHeight="1">
      <c r="I617" s="281"/>
    </row>
    <row r="618" spans="9:9" ht="29.25" customHeight="1">
      <c r="I618" s="281"/>
    </row>
    <row r="619" spans="9:9" ht="29.25" customHeight="1">
      <c r="I619" s="281"/>
    </row>
    <row r="620" spans="9:9" ht="29.25" customHeight="1">
      <c r="I620" s="281"/>
    </row>
    <row r="621" spans="9:9" ht="29.25" customHeight="1">
      <c r="I621" s="281"/>
    </row>
    <row r="622" spans="9:9" ht="29.25" customHeight="1">
      <c r="I622" s="281"/>
    </row>
    <row r="623" spans="9:9" ht="29.25" customHeight="1">
      <c r="I623" s="281"/>
    </row>
    <row r="624" spans="9:9" ht="29.25" customHeight="1">
      <c r="I624" s="281"/>
    </row>
    <row r="625" spans="9:9" ht="29.25" customHeight="1">
      <c r="I625" s="281"/>
    </row>
    <row r="626" spans="9:9" ht="29.25" customHeight="1">
      <c r="I626" s="281"/>
    </row>
    <row r="627" spans="9:9" ht="29.25" customHeight="1">
      <c r="I627" s="281"/>
    </row>
    <row r="628" spans="9:9" ht="29.25" customHeight="1">
      <c r="I628" s="281"/>
    </row>
    <row r="629" spans="9:9" ht="29.25" customHeight="1">
      <c r="I629" s="281"/>
    </row>
    <row r="630" spans="9:9" ht="29.25" customHeight="1">
      <c r="I630" s="281"/>
    </row>
    <row r="631" spans="9:9" ht="29.25" customHeight="1">
      <c r="I631" s="281"/>
    </row>
    <row r="632" spans="9:9" ht="29.25" customHeight="1">
      <c r="I632" s="281"/>
    </row>
    <row r="633" spans="9:9" ht="29.25" customHeight="1">
      <c r="I633" s="281"/>
    </row>
    <row r="634" spans="9:9" ht="29.25" customHeight="1">
      <c r="I634" s="281"/>
    </row>
    <row r="635" spans="9:9" ht="29.25" customHeight="1">
      <c r="I635" s="281"/>
    </row>
    <row r="636" spans="9:9" ht="29.25" customHeight="1">
      <c r="I636" s="281"/>
    </row>
    <row r="637" spans="9:9" ht="29.25" customHeight="1">
      <c r="I637" s="281"/>
    </row>
    <row r="638" spans="9:9" ht="29.25" customHeight="1">
      <c r="I638" s="281"/>
    </row>
    <row r="639" spans="9:9" ht="29.25" customHeight="1">
      <c r="I639" s="281"/>
    </row>
    <row r="640" spans="9:9" ht="29.25" customHeight="1">
      <c r="I640" s="281"/>
    </row>
    <row r="641" spans="9:9" ht="29.25" customHeight="1">
      <c r="I641" s="281"/>
    </row>
    <row r="642" spans="9:9" ht="29.25" customHeight="1">
      <c r="I642" s="281"/>
    </row>
    <row r="643" spans="9:9" ht="29.25" customHeight="1">
      <c r="I643" s="281"/>
    </row>
    <row r="644" spans="9:9" ht="29.25" customHeight="1">
      <c r="I644" s="281"/>
    </row>
    <row r="645" spans="9:9" ht="29.25" customHeight="1">
      <c r="I645" s="281"/>
    </row>
    <row r="646" spans="9:9" ht="29.25" customHeight="1">
      <c r="I646" s="281"/>
    </row>
    <row r="647" spans="9:9" ht="29.25" customHeight="1">
      <c r="I647" s="281"/>
    </row>
    <row r="648" spans="9:9" ht="29.25" customHeight="1">
      <c r="I648" s="281"/>
    </row>
    <row r="649" spans="9:9" ht="29.25" customHeight="1">
      <c r="I649" s="281"/>
    </row>
    <row r="650" spans="9:9" ht="29.25" customHeight="1">
      <c r="I650" s="281"/>
    </row>
    <row r="651" spans="9:9" ht="29.25" customHeight="1">
      <c r="I651" s="281"/>
    </row>
    <row r="652" spans="9:9" ht="29.25" customHeight="1">
      <c r="I652" s="281"/>
    </row>
    <row r="653" spans="9:9" ht="29.25" customHeight="1">
      <c r="I653" s="281"/>
    </row>
    <row r="654" spans="9:9" ht="29.25" customHeight="1">
      <c r="I654" s="281"/>
    </row>
    <row r="655" spans="9:9" ht="29.25" customHeight="1">
      <c r="I655" s="281"/>
    </row>
    <row r="656" spans="9:9" ht="29.25" customHeight="1">
      <c r="I656" s="281"/>
    </row>
    <row r="657" spans="9:9" ht="29.25" customHeight="1">
      <c r="I657" s="281"/>
    </row>
    <row r="658" spans="9:9" ht="29.25" customHeight="1">
      <c r="I658" s="281"/>
    </row>
    <row r="659" spans="9:9" ht="29.25" customHeight="1">
      <c r="I659" s="281"/>
    </row>
    <row r="660" spans="9:9" ht="29.25" customHeight="1">
      <c r="I660" s="281"/>
    </row>
    <row r="661" spans="9:9" ht="29.25" customHeight="1">
      <c r="I661" s="281"/>
    </row>
    <row r="662" spans="9:9" ht="29.25" customHeight="1">
      <c r="I662" s="281"/>
    </row>
    <row r="663" spans="9:9" ht="29.25" customHeight="1">
      <c r="I663" s="281"/>
    </row>
    <row r="664" spans="9:9" ht="29.25" customHeight="1">
      <c r="I664" s="281"/>
    </row>
    <row r="665" spans="9:9" ht="29.25" customHeight="1">
      <c r="I665" s="281"/>
    </row>
    <row r="666" spans="9:9" ht="29.25" customHeight="1">
      <c r="I666" s="281"/>
    </row>
    <row r="667" spans="9:9" ht="29.25" customHeight="1">
      <c r="I667" s="281"/>
    </row>
    <row r="668" spans="9:9" ht="29.25" customHeight="1">
      <c r="I668" s="281"/>
    </row>
    <row r="669" spans="9:9" ht="29.25" customHeight="1">
      <c r="I669" s="281"/>
    </row>
    <row r="670" spans="9:9" ht="29.25" customHeight="1">
      <c r="I670" s="281"/>
    </row>
    <row r="671" spans="9:9" ht="29.25" customHeight="1">
      <c r="I671" s="281"/>
    </row>
    <row r="672" spans="9:9" ht="29.25" customHeight="1">
      <c r="I672" s="281"/>
    </row>
    <row r="673" spans="9:9" ht="29.25" customHeight="1">
      <c r="I673" s="281"/>
    </row>
    <row r="674" spans="9:9" ht="29.25" customHeight="1">
      <c r="I674" s="281"/>
    </row>
    <row r="675" spans="9:9" ht="29.25" customHeight="1">
      <c r="I675" s="281"/>
    </row>
    <row r="676" spans="9:9" ht="29.25" customHeight="1">
      <c r="I676" s="281"/>
    </row>
    <row r="677" spans="9:9" ht="29.25" customHeight="1">
      <c r="I677" s="281"/>
    </row>
    <row r="678" spans="9:9" ht="29.25" customHeight="1">
      <c r="I678" s="281"/>
    </row>
    <row r="679" spans="9:9" ht="29.25" customHeight="1">
      <c r="I679" s="281"/>
    </row>
    <row r="680" spans="9:9" ht="29.25" customHeight="1">
      <c r="I680" s="281"/>
    </row>
    <row r="681" spans="9:9" ht="29.25" customHeight="1">
      <c r="I681" s="281"/>
    </row>
    <row r="682" spans="9:9" ht="29.25" customHeight="1">
      <c r="I682" s="281"/>
    </row>
    <row r="683" spans="9:9" ht="29.25" customHeight="1">
      <c r="I683" s="281"/>
    </row>
    <row r="684" spans="9:9" ht="29.25" customHeight="1">
      <c r="I684" s="281"/>
    </row>
    <row r="685" spans="9:9" ht="29.25" customHeight="1">
      <c r="I685" s="281"/>
    </row>
    <row r="686" spans="9:9" ht="29.25" customHeight="1">
      <c r="I686" s="281"/>
    </row>
    <row r="687" spans="9:9" ht="29.25" customHeight="1">
      <c r="I687" s="281"/>
    </row>
    <row r="688" spans="9:9" ht="29.25" customHeight="1">
      <c r="I688" s="281"/>
    </row>
    <row r="689" spans="9:9" ht="29.25" customHeight="1">
      <c r="I689" s="281"/>
    </row>
    <row r="690" spans="9:9" ht="29.25" customHeight="1">
      <c r="I690" s="281"/>
    </row>
    <row r="691" spans="9:9" ht="29.25" customHeight="1">
      <c r="I691" s="281"/>
    </row>
    <row r="692" spans="9:9" ht="29.25" customHeight="1">
      <c r="I692" s="281"/>
    </row>
    <row r="693" spans="9:9" ht="29.25" customHeight="1">
      <c r="I693" s="281"/>
    </row>
    <row r="694" spans="9:9" ht="29.25" customHeight="1">
      <c r="I694" s="281"/>
    </row>
    <row r="695" spans="9:9" ht="29.25" customHeight="1">
      <c r="I695" s="281"/>
    </row>
    <row r="696" spans="9:9" ht="29.25" customHeight="1">
      <c r="I696" s="281"/>
    </row>
    <row r="697" spans="9:9" ht="29.25" customHeight="1">
      <c r="I697" s="281"/>
    </row>
    <row r="698" spans="9:9" ht="29.25" customHeight="1">
      <c r="I698" s="281"/>
    </row>
    <row r="699" spans="9:9" ht="29.25" customHeight="1">
      <c r="I699" s="281"/>
    </row>
    <row r="700" spans="9:9" ht="29.25" customHeight="1">
      <c r="I700" s="281"/>
    </row>
    <row r="701" spans="9:9" ht="29.25" customHeight="1">
      <c r="I701" s="281"/>
    </row>
    <row r="702" spans="9:9" ht="29.25" customHeight="1">
      <c r="I702" s="281"/>
    </row>
    <row r="703" spans="9:9" ht="29.25" customHeight="1">
      <c r="I703" s="281"/>
    </row>
    <row r="704" spans="9:9" ht="29.25" customHeight="1">
      <c r="I704" s="281"/>
    </row>
    <row r="705" spans="9:9" ht="29.25" customHeight="1">
      <c r="I705" s="281"/>
    </row>
    <row r="706" spans="9:9" ht="29.25" customHeight="1">
      <c r="I706" s="281"/>
    </row>
    <row r="707" spans="9:9" ht="29.25" customHeight="1">
      <c r="I707" s="281"/>
    </row>
    <row r="708" spans="9:9" ht="29.25" customHeight="1">
      <c r="I708" s="281"/>
    </row>
    <row r="709" spans="9:9" ht="29.25" customHeight="1">
      <c r="I709" s="281"/>
    </row>
    <row r="710" spans="9:9" ht="29.25" customHeight="1">
      <c r="I710" s="281"/>
    </row>
    <row r="711" spans="9:9" ht="29.25" customHeight="1">
      <c r="I711" s="281"/>
    </row>
    <row r="712" spans="9:9" ht="29.25" customHeight="1">
      <c r="I712" s="281"/>
    </row>
    <row r="713" spans="9:9" ht="29.25" customHeight="1">
      <c r="I713" s="281"/>
    </row>
    <row r="714" spans="9:9" ht="29.25" customHeight="1">
      <c r="I714" s="281"/>
    </row>
    <row r="715" spans="9:9" ht="29.25" customHeight="1">
      <c r="I715" s="281"/>
    </row>
    <row r="716" spans="9:9" ht="29.25" customHeight="1">
      <c r="I716" s="281"/>
    </row>
    <row r="717" spans="9:9" ht="29.25" customHeight="1">
      <c r="I717" s="281"/>
    </row>
    <row r="718" spans="9:9" ht="29.25" customHeight="1">
      <c r="I718" s="281"/>
    </row>
    <row r="719" spans="9:9" ht="29.25" customHeight="1">
      <c r="I719" s="281"/>
    </row>
    <row r="720" spans="9:9" ht="29.25" customHeight="1">
      <c r="I720" s="281"/>
    </row>
    <row r="721" spans="9:9" ht="29.25" customHeight="1">
      <c r="I721" s="281"/>
    </row>
    <row r="722" spans="9:9" ht="29.25" customHeight="1">
      <c r="I722" s="281"/>
    </row>
    <row r="723" spans="9:9" ht="29.25" customHeight="1">
      <c r="I723" s="281"/>
    </row>
    <row r="724" spans="9:9" ht="29.25" customHeight="1">
      <c r="I724" s="281"/>
    </row>
    <row r="725" spans="9:9" ht="29.25" customHeight="1">
      <c r="I725" s="281"/>
    </row>
    <row r="726" spans="9:9" ht="29.25" customHeight="1">
      <c r="I726" s="281"/>
    </row>
    <row r="727" spans="9:9" ht="29.25" customHeight="1">
      <c r="I727" s="281"/>
    </row>
    <row r="728" spans="9:9" ht="29.25" customHeight="1">
      <c r="I728" s="281"/>
    </row>
    <row r="729" spans="9:9" ht="29.25" customHeight="1">
      <c r="I729" s="281"/>
    </row>
    <row r="730" spans="9:9" ht="29.25" customHeight="1">
      <c r="I730" s="281"/>
    </row>
    <row r="731" spans="9:9" ht="29.25" customHeight="1">
      <c r="I731" s="281"/>
    </row>
    <row r="732" spans="9:9" ht="29.25" customHeight="1">
      <c r="I732" s="281"/>
    </row>
    <row r="733" spans="9:9" ht="29.25" customHeight="1">
      <c r="I733" s="281"/>
    </row>
    <row r="734" spans="9:9" ht="29.25" customHeight="1">
      <c r="I734" s="281"/>
    </row>
    <row r="735" spans="9:9" ht="29.25" customHeight="1">
      <c r="I735" s="281"/>
    </row>
    <row r="736" spans="9:9" ht="29.25" customHeight="1">
      <c r="I736" s="281"/>
    </row>
    <row r="737" spans="9:9" ht="29.25" customHeight="1">
      <c r="I737" s="281"/>
    </row>
    <row r="738" spans="9:9" ht="29.25" customHeight="1">
      <c r="I738" s="281"/>
    </row>
    <row r="739" spans="9:9" ht="29.25" customHeight="1">
      <c r="I739" s="281"/>
    </row>
    <row r="740" spans="9:9" ht="29.25" customHeight="1">
      <c r="I740" s="281"/>
    </row>
    <row r="741" spans="9:9" ht="29.25" customHeight="1">
      <c r="I741" s="281"/>
    </row>
    <row r="742" spans="9:9" ht="29.25" customHeight="1">
      <c r="I742" s="281"/>
    </row>
    <row r="743" spans="9:9" ht="29.25" customHeight="1">
      <c r="I743" s="281"/>
    </row>
    <row r="744" spans="9:9" ht="29.25" customHeight="1">
      <c r="I744" s="281"/>
    </row>
    <row r="745" spans="9:9" ht="29.25" customHeight="1">
      <c r="I745" s="281"/>
    </row>
    <row r="746" spans="9:9" ht="29.25" customHeight="1">
      <c r="I746" s="281"/>
    </row>
    <row r="747" spans="9:9" ht="29.25" customHeight="1">
      <c r="I747" s="281"/>
    </row>
    <row r="748" spans="9:9" ht="29.25" customHeight="1">
      <c r="I748" s="281"/>
    </row>
    <row r="749" spans="9:9" ht="29.25" customHeight="1">
      <c r="I749" s="281"/>
    </row>
    <row r="750" spans="9:9" ht="29.25" customHeight="1">
      <c r="I750" s="281"/>
    </row>
    <row r="751" spans="9:9" ht="29.25" customHeight="1">
      <c r="I751" s="281"/>
    </row>
    <row r="752" spans="9:9" ht="29.25" customHeight="1">
      <c r="I752" s="281"/>
    </row>
    <row r="753" spans="9:9" ht="29.25" customHeight="1">
      <c r="I753" s="281"/>
    </row>
    <row r="754" spans="9:9" ht="29.25" customHeight="1">
      <c r="I754" s="281"/>
    </row>
    <row r="755" spans="9:9" ht="29.25" customHeight="1">
      <c r="I755" s="281"/>
    </row>
    <row r="756" spans="9:9" ht="29.25" customHeight="1">
      <c r="I756" s="281"/>
    </row>
    <row r="757" spans="9:9" ht="29.25" customHeight="1">
      <c r="I757" s="281"/>
    </row>
    <row r="758" spans="9:9" ht="29.25" customHeight="1">
      <c r="I758" s="281"/>
    </row>
    <row r="759" spans="9:9" ht="29.25" customHeight="1">
      <c r="I759" s="281"/>
    </row>
    <row r="760" spans="9:9" ht="29.25" customHeight="1">
      <c r="I760" s="281"/>
    </row>
    <row r="761" spans="9:9" ht="29.25" customHeight="1">
      <c r="I761" s="281"/>
    </row>
    <row r="762" spans="9:9" ht="29.25" customHeight="1">
      <c r="I762" s="281"/>
    </row>
    <row r="763" spans="9:9" ht="29.25" customHeight="1">
      <c r="I763" s="281"/>
    </row>
    <row r="764" spans="9:9" ht="29.25" customHeight="1">
      <c r="I764" s="281"/>
    </row>
    <row r="765" spans="9:9" ht="29.25" customHeight="1">
      <c r="I765" s="281"/>
    </row>
    <row r="766" spans="9:9" ht="29.25" customHeight="1">
      <c r="I766" s="281"/>
    </row>
    <row r="767" spans="9:9" ht="29.25" customHeight="1">
      <c r="I767" s="281"/>
    </row>
    <row r="768" spans="9:9" ht="29.25" customHeight="1">
      <c r="I768" s="281"/>
    </row>
    <row r="769" spans="9:9" ht="29.25" customHeight="1">
      <c r="I769" s="281"/>
    </row>
    <row r="770" spans="9:9" ht="29.25" customHeight="1">
      <c r="I770" s="281"/>
    </row>
    <row r="771" spans="9:9" ht="29.25" customHeight="1">
      <c r="I771" s="281"/>
    </row>
    <row r="772" spans="9:9" ht="29.25" customHeight="1">
      <c r="I772" s="281"/>
    </row>
    <row r="773" spans="9:9" ht="29.25" customHeight="1">
      <c r="I773" s="281"/>
    </row>
    <row r="774" spans="9:9" ht="29.25" customHeight="1">
      <c r="I774" s="281"/>
    </row>
    <row r="775" spans="9:9" ht="29.25" customHeight="1">
      <c r="I775" s="281"/>
    </row>
    <row r="776" spans="9:9" ht="29.25" customHeight="1">
      <c r="I776" s="281"/>
    </row>
    <row r="777" spans="9:9" ht="29.25" customHeight="1">
      <c r="I777" s="281"/>
    </row>
    <row r="778" spans="9:9" ht="29.25" customHeight="1">
      <c r="I778" s="281"/>
    </row>
    <row r="779" spans="9:9" ht="29.25" customHeight="1">
      <c r="I779" s="281"/>
    </row>
    <row r="780" spans="9:9" ht="29.25" customHeight="1">
      <c r="I780" s="281"/>
    </row>
    <row r="781" spans="9:9" ht="29.25" customHeight="1">
      <c r="I781" s="281"/>
    </row>
    <row r="782" spans="9:9" ht="29.25" customHeight="1">
      <c r="I782" s="281"/>
    </row>
    <row r="783" spans="9:9" ht="29.25" customHeight="1">
      <c r="I783" s="281"/>
    </row>
    <row r="784" spans="9:9" ht="29.25" customHeight="1">
      <c r="I784" s="281"/>
    </row>
    <row r="785" spans="9:9" ht="29.25" customHeight="1">
      <c r="I785" s="281"/>
    </row>
    <row r="786" spans="9:9" ht="29.25" customHeight="1">
      <c r="I786" s="281"/>
    </row>
    <row r="787" spans="9:9" ht="29.25" customHeight="1">
      <c r="I787" s="281"/>
    </row>
    <row r="788" spans="9:9" ht="29.25" customHeight="1">
      <c r="I788" s="281"/>
    </row>
    <row r="789" spans="9:9" ht="29.25" customHeight="1">
      <c r="I789" s="281"/>
    </row>
    <row r="790" spans="9:9" ht="29.25" customHeight="1">
      <c r="I790" s="281"/>
    </row>
    <row r="791" spans="9:9" ht="29.25" customHeight="1">
      <c r="I791" s="281"/>
    </row>
    <row r="792" spans="9:9" ht="29.25" customHeight="1">
      <c r="I792" s="281"/>
    </row>
    <row r="793" spans="9:9" ht="29.25" customHeight="1">
      <c r="I793" s="281"/>
    </row>
    <row r="794" spans="9:9" ht="29.25" customHeight="1">
      <c r="I794" s="281"/>
    </row>
    <row r="795" spans="9:9" ht="29.25" customHeight="1">
      <c r="I795" s="281"/>
    </row>
    <row r="796" spans="9:9" ht="29.25" customHeight="1">
      <c r="I796" s="281"/>
    </row>
    <row r="797" spans="9:9" ht="29.25" customHeight="1">
      <c r="I797" s="281"/>
    </row>
    <row r="798" spans="9:9" ht="29.25" customHeight="1">
      <c r="I798" s="281"/>
    </row>
    <row r="799" spans="9:9" ht="29.25" customHeight="1">
      <c r="I799" s="281"/>
    </row>
    <row r="800" spans="9:9" ht="29.25" customHeight="1">
      <c r="I800" s="281"/>
    </row>
    <row r="801" spans="9:9" ht="29.25" customHeight="1">
      <c r="I801" s="281"/>
    </row>
    <row r="802" spans="9:9" ht="29.25" customHeight="1">
      <c r="I802" s="281"/>
    </row>
    <row r="803" spans="9:9" ht="29.25" customHeight="1">
      <c r="I803" s="281"/>
    </row>
    <row r="804" spans="9:9" ht="29.25" customHeight="1">
      <c r="I804" s="281"/>
    </row>
    <row r="805" spans="9:9" ht="29.25" customHeight="1">
      <c r="I805" s="281"/>
    </row>
    <row r="806" spans="9:9" ht="29.25" customHeight="1">
      <c r="I806" s="281"/>
    </row>
    <row r="807" spans="9:9" ht="29.25" customHeight="1">
      <c r="I807" s="281"/>
    </row>
    <row r="808" spans="9:9" ht="29.25" customHeight="1">
      <c r="I808" s="281"/>
    </row>
    <row r="809" spans="9:9" ht="29.25" customHeight="1">
      <c r="I809" s="281"/>
    </row>
    <row r="810" spans="9:9" ht="29.25" customHeight="1">
      <c r="I810" s="281"/>
    </row>
    <row r="811" spans="9:9" ht="29.25" customHeight="1">
      <c r="I811" s="281"/>
    </row>
    <row r="812" spans="9:9" ht="29.25" customHeight="1">
      <c r="I812" s="281"/>
    </row>
    <row r="813" spans="9:9" ht="29.25" customHeight="1">
      <c r="I813" s="281"/>
    </row>
    <row r="814" spans="9:9" ht="29.25" customHeight="1">
      <c r="I814" s="281"/>
    </row>
    <row r="815" spans="9:9" ht="29.25" customHeight="1">
      <c r="I815" s="281"/>
    </row>
    <row r="816" spans="9:9" ht="29.25" customHeight="1">
      <c r="I816" s="281"/>
    </row>
    <row r="817" spans="9:9" ht="29.25" customHeight="1">
      <c r="I817" s="281"/>
    </row>
    <row r="818" spans="9:9" ht="29.25" customHeight="1">
      <c r="I818" s="281"/>
    </row>
    <row r="819" spans="9:9" ht="29.25" customHeight="1">
      <c r="I819" s="281"/>
    </row>
    <row r="820" spans="9:9" ht="29.25" customHeight="1">
      <c r="I820" s="281"/>
    </row>
    <row r="821" spans="9:9" ht="29.25" customHeight="1">
      <c r="I821" s="281"/>
    </row>
    <row r="822" spans="9:9" ht="29.25" customHeight="1">
      <c r="I822" s="281"/>
    </row>
    <row r="823" spans="9:9" ht="29.25" customHeight="1">
      <c r="I823" s="281"/>
    </row>
    <row r="824" spans="9:9" ht="29.25" customHeight="1">
      <c r="I824" s="281"/>
    </row>
    <row r="825" spans="9:9" ht="29.25" customHeight="1">
      <c r="I825" s="281"/>
    </row>
    <row r="826" spans="9:9" ht="29.25" customHeight="1">
      <c r="I826" s="281"/>
    </row>
    <row r="827" spans="9:9" ht="29.25" customHeight="1">
      <c r="I827" s="281"/>
    </row>
    <row r="828" spans="9:9" ht="29.25" customHeight="1">
      <c r="I828" s="281"/>
    </row>
    <row r="829" spans="9:9" ht="29.25" customHeight="1">
      <c r="I829" s="281"/>
    </row>
    <row r="830" spans="9:9" ht="29.25" customHeight="1">
      <c r="I830" s="281"/>
    </row>
    <row r="831" spans="9:9" ht="29.25" customHeight="1">
      <c r="I831" s="281"/>
    </row>
    <row r="832" spans="9:9" ht="29.25" customHeight="1">
      <c r="I832" s="281"/>
    </row>
    <row r="833" spans="9:9" ht="29.25" customHeight="1">
      <c r="I833" s="281"/>
    </row>
    <row r="834" spans="9:9" ht="29.25" customHeight="1">
      <c r="I834" s="281"/>
    </row>
    <row r="835" spans="9:9" ht="29.25" customHeight="1">
      <c r="I835" s="281"/>
    </row>
    <row r="836" spans="9:9" ht="29.25" customHeight="1">
      <c r="I836" s="281"/>
    </row>
    <row r="837" spans="9:9" ht="29.25" customHeight="1">
      <c r="I837" s="281"/>
    </row>
    <row r="838" spans="9:9" ht="29.25" customHeight="1">
      <c r="I838" s="281"/>
    </row>
    <row r="839" spans="9:9" ht="29.25" customHeight="1">
      <c r="I839" s="281"/>
    </row>
    <row r="840" spans="9:9" ht="29.25" customHeight="1">
      <c r="I840" s="281"/>
    </row>
    <row r="841" spans="9:9" ht="29.25" customHeight="1">
      <c r="I841" s="281"/>
    </row>
    <row r="842" spans="9:9" ht="29.25" customHeight="1">
      <c r="I842" s="281"/>
    </row>
    <row r="843" spans="9:9" ht="29.25" customHeight="1">
      <c r="I843" s="281"/>
    </row>
    <row r="844" spans="9:9" ht="29.25" customHeight="1">
      <c r="I844" s="281"/>
    </row>
    <row r="845" spans="9:9" ht="29.25" customHeight="1">
      <c r="I845" s="281"/>
    </row>
    <row r="846" spans="9:9" ht="29.25" customHeight="1">
      <c r="I846" s="281"/>
    </row>
    <row r="847" spans="9:9" ht="29.25" customHeight="1">
      <c r="I847" s="281"/>
    </row>
    <row r="848" spans="9:9" ht="29.25" customHeight="1">
      <c r="I848" s="281"/>
    </row>
    <row r="849" spans="9:9" ht="29.25" customHeight="1">
      <c r="I849" s="281"/>
    </row>
    <row r="850" spans="9:9" ht="29.25" customHeight="1">
      <c r="I850" s="281"/>
    </row>
    <row r="851" spans="9:9" ht="29.25" customHeight="1">
      <c r="I851" s="281"/>
    </row>
    <row r="852" spans="9:9" ht="29.25" customHeight="1">
      <c r="I852" s="281"/>
    </row>
    <row r="853" spans="9:9" ht="29.25" customHeight="1">
      <c r="I853" s="281"/>
    </row>
    <row r="854" spans="9:9" ht="29.25" customHeight="1">
      <c r="I854" s="281"/>
    </row>
    <row r="855" spans="9:9" ht="29.25" customHeight="1">
      <c r="I855" s="281"/>
    </row>
    <row r="856" spans="9:9" ht="29.25" customHeight="1">
      <c r="I856" s="281"/>
    </row>
    <row r="857" spans="9:9" ht="29.25" customHeight="1">
      <c r="I857" s="281"/>
    </row>
    <row r="858" spans="9:9" ht="29.25" customHeight="1">
      <c r="I858" s="281"/>
    </row>
    <row r="859" spans="9:9" ht="29.25" customHeight="1">
      <c r="I859" s="281"/>
    </row>
    <row r="860" spans="9:9" ht="29.25" customHeight="1">
      <c r="I860" s="281"/>
    </row>
    <row r="861" spans="9:9" ht="29.25" customHeight="1">
      <c r="I861" s="281"/>
    </row>
    <row r="862" spans="9:9" ht="29.25" customHeight="1">
      <c r="I862" s="281"/>
    </row>
    <row r="863" spans="9:9" ht="29.25" customHeight="1">
      <c r="I863" s="281"/>
    </row>
    <row r="864" spans="9:9" ht="29.25" customHeight="1">
      <c r="I864" s="281"/>
    </row>
    <row r="865" spans="9:9" ht="29.25" customHeight="1">
      <c r="I865" s="281"/>
    </row>
    <row r="866" spans="9:9" ht="29.25" customHeight="1">
      <c r="I866" s="281"/>
    </row>
    <row r="867" spans="9:9" ht="29.25" customHeight="1">
      <c r="I867" s="281"/>
    </row>
    <row r="868" spans="9:9" ht="29.25" customHeight="1">
      <c r="I868" s="281"/>
    </row>
    <row r="869" spans="9:9" ht="29.25" customHeight="1">
      <c r="I869" s="281"/>
    </row>
    <row r="870" spans="9:9" ht="29.25" customHeight="1">
      <c r="I870" s="281"/>
    </row>
    <row r="871" spans="9:9" ht="29.25" customHeight="1">
      <c r="I871" s="281"/>
    </row>
    <row r="872" spans="9:9" ht="29.25" customHeight="1">
      <c r="I872" s="281"/>
    </row>
    <row r="873" spans="9:9" ht="29.25" customHeight="1">
      <c r="I873" s="281"/>
    </row>
    <row r="874" spans="9:9" ht="29.25" customHeight="1">
      <c r="I874" s="281"/>
    </row>
    <row r="875" spans="9:9" ht="29.25" customHeight="1">
      <c r="I875" s="281"/>
    </row>
    <row r="876" spans="9:9" ht="29.25" customHeight="1">
      <c r="I876" s="281"/>
    </row>
    <row r="877" spans="9:9" ht="29.25" customHeight="1">
      <c r="I877" s="281"/>
    </row>
    <row r="878" spans="9:9" ht="29.25" customHeight="1">
      <c r="I878" s="281"/>
    </row>
    <row r="879" spans="9:9" ht="29.25" customHeight="1">
      <c r="I879" s="281"/>
    </row>
    <row r="880" spans="9:9" ht="29.25" customHeight="1">
      <c r="I880" s="281"/>
    </row>
    <row r="881" spans="9:9" ht="29.25" customHeight="1">
      <c r="I881" s="281"/>
    </row>
    <row r="882" spans="9:9" ht="29.25" customHeight="1">
      <c r="I882" s="281"/>
    </row>
    <row r="883" spans="9:9" ht="29.25" customHeight="1">
      <c r="I883" s="281"/>
    </row>
    <row r="884" spans="9:9" ht="29.25" customHeight="1">
      <c r="I884" s="281"/>
    </row>
    <row r="885" spans="9:9" ht="29.25" customHeight="1">
      <c r="I885" s="281"/>
    </row>
    <row r="886" spans="9:9" ht="29.25" customHeight="1">
      <c r="I886" s="281"/>
    </row>
    <row r="887" spans="9:9" ht="29.25" customHeight="1">
      <c r="I887" s="281"/>
    </row>
    <row r="888" spans="9:9" ht="29.25" customHeight="1">
      <c r="I888" s="281"/>
    </row>
    <row r="889" spans="9:9" ht="29.25" customHeight="1">
      <c r="I889" s="281"/>
    </row>
    <row r="890" spans="9:9" ht="29.25" customHeight="1">
      <c r="I890" s="281"/>
    </row>
    <row r="891" spans="9:9" ht="29.25" customHeight="1">
      <c r="I891" s="281"/>
    </row>
    <row r="892" spans="9:9" ht="29.25" customHeight="1">
      <c r="I892" s="281"/>
    </row>
    <row r="893" spans="9:9" ht="29.25" customHeight="1">
      <c r="I893" s="281"/>
    </row>
    <row r="894" spans="9:9" ht="29.25" customHeight="1">
      <c r="I894" s="281"/>
    </row>
    <row r="895" spans="9:9" ht="29.25" customHeight="1">
      <c r="I895" s="281"/>
    </row>
    <row r="896" spans="9:9" ht="29.25" customHeight="1">
      <c r="I896" s="281"/>
    </row>
    <row r="897" spans="9:9" ht="29.25" customHeight="1">
      <c r="I897" s="281"/>
    </row>
    <row r="898" spans="9:9" ht="29.25" customHeight="1">
      <c r="I898" s="281"/>
    </row>
    <row r="899" spans="9:9" ht="29.25" customHeight="1">
      <c r="I899" s="281"/>
    </row>
    <row r="900" spans="9:9" ht="29.25" customHeight="1">
      <c r="I900" s="281"/>
    </row>
    <row r="901" spans="9:9" ht="29.25" customHeight="1">
      <c r="I901" s="281"/>
    </row>
    <row r="902" spans="9:9" ht="29.25" customHeight="1">
      <c r="I902" s="281"/>
    </row>
    <row r="903" spans="9:9" ht="29.25" customHeight="1">
      <c r="I903" s="281"/>
    </row>
    <row r="904" spans="9:9" ht="29.25" customHeight="1">
      <c r="I904" s="281"/>
    </row>
    <row r="905" spans="9:9" ht="29.25" customHeight="1">
      <c r="I905" s="281"/>
    </row>
    <row r="906" spans="9:9" ht="29.25" customHeight="1">
      <c r="I906" s="281"/>
    </row>
    <row r="907" spans="9:9" ht="29.25" customHeight="1">
      <c r="I907" s="281"/>
    </row>
    <row r="908" spans="9:9" ht="29.25" customHeight="1">
      <c r="I908" s="281"/>
    </row>
    <row r="909" spans="9:9" ht="29.25" customHeight="1">
      <c r="I909" s="281"/>
    </row>
    <row r="910" spans="9:9" ht="29.25" customHeight="1">
      <c r="I910" s="281"/>
    </row>
    <row r="911" spans="9:9" ht="29.25" customHeight="1">
      <c r="I911" s="281"/>
    </row>
    <row r="912" spans="9:9" ht="29.25" customHeight="1">
      <c r="I912" s="281"/>
    </row>
    <row r="913" spans="9:9" ht="29.25" customHeight="1">
      <c r="I913" s="281"/>
    </row>
    <row r="914" spans="9:9" ht="29.25" customHeight="1">
      <c r="I914" s="281"/>
    </row>
    <row r="915" spans="9:9" ht="29.25" customHeight="1">
      <c r="I915" s="281"/>
    </row>
    <row r="916" spans="9:9" ht="29.25" customHeight="1">
      <c r="I916" s="281"/>
    </row>
    <row r="917" spans="9:9" ht="29.25" customHeight="1">
      <c r="I917" s="281"/>
    </row>
    <row r="918" spans="9:9" ht="29.25" customHeight="1">
      <c r="I918" s="281"/>
    </row>
    <row r="919" spans="9:9" ht="29.25" customHeight="1">
      <c r="I919" s="281"/>
    </row>
    <row r="920" spans="9:9" ht="29.25" customHeight="1">
      <c r="I920" s="281"/>
    </row>
    <row r="921" spans="9:9" ht="29.25" customHeight="1">
      <c r="I921" s="281"/>
    </row>
    <row r="922" spans="9:9" ht="29.25" customHeight="1">
      <c r="I922" s="281"/>
    </row>
    <row r="923" spans="9:9" ht="29.25" customHeight="1">
      <c r="I923" s="281"/>
    </row>
    <row r="924" spans="9:9" ht="29.25" customHeight="1">
      <c r="I924" s="281"/>
    </row>
    <row r="925" spans="9:9" ht="29.25" customHeight="1">
      <c r="I925" s="281"/>
    </row>
    <row r="926" spans="9:9" ht="29.25" customHeight="1">
      <c r="I926" s="281"/>
    </row>
    <row r="927" spans="9:9" ht="29.25" customHeight="1">
      <c r="I927" s="281"/>
    </row>
    <row r="928" spans="9:9" ht="29.25" customHeight="1">
      <c r="I928" s="281"/>
    </row>
    <row r="929" spans="9:9" ht="29.25" customHeight="1">
      <c r="I929" s="281"/>
    </row>
    <row r="930" spans="9:9" ht="29.25" customHeight="1">
      <c r="I930" s="281"/>
    </row>
    <row r="931" spans="9:9" ht="29.25" customHeight="1">
      <c r="I931" s="281"/>
    </row>
    <row r="932" spans="9:9" ht="29.25" customHeight="1">
      <c r="I932" s="281"/>
    </row>
    <row r="933" spans="9:9" ht="29.25" customHeight="1">
      <c r="I933" s="281"/>
    </row>
    <row r="934" spans="9:9" ht="29.25" customHeight="1">
      <c r="I934" s="281"/>
    </row>
    <row r="935" spans="9:9" ht="29.25" customHeight="1">
      <c r="I935" s="281"/>
    </row>
    <row r="936" spans="9:9" ht="29.25" customHeight="1">
      <c r="I936" s="281"/>
    </row>
    <row r="937" spans="9:9" ht="29.25" customHeight="1">
      <c r="I937" s="281"/>
    </row>
    <row r="938" spans="9:9" ht="29.25" customHeight="1">
      <c r="I938" s="281"/>
    </row>
    <row r="939" spans="9:9" ht="15" customHeight="1">
      <c r="I939" s="281"/>
    </row>
  </sheetData>
  <hyperlinks>
    <hyperlink ref="O7" r:id="rId1" xr:uid="{A5C2F5E3-4408-44BF-B118-9BD838C238D5}"/>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2555</vt:lpstr>
      <vt:lpstr>2556</vt:lpstr>
      <vt:lpstr>2557</vt:lpstr>
      <vt:lpstr>2558 </vt:lpstr>
      <vt:lpstr>2559</vt:lpstr>
      <vt:lpstr>2560 </vt:lpstr>
      <vt:lpstr>2561</vt:lpstr>
      <vt:lpstr>2562</vt:lpstr>
      <vt:lpstr>2563</vt:lpstr>
      <vt:lpstr>2564</vt:lpstr>
      <vt:lpstr>2565</vt:lpstr>
      <vt:lpstr>2566</vt:lpstr>
      <vt:lpstr>2567</vt:lpstr>
      <vt:lpstr>2568</vt:lpstr>
      <vt:lpstr>2569</vt:lpstr>
      <vt:lpstr>'2555'!Print_Titles</vt:lpstr>
      <vt:lpstr>'2564'!Print_Titles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Nunong</dc:creator>
  <cp:lastModifiedBy>Thongthat Lamthong</cp:lastModifiedBy>
  <cp:lastPrinted>2022-10-06T04:20:26Z</cp:lastPrinted>
  <dcterms:created xsi:type="dcterms:W3CDTF">2018-05-02T02:56:45Z</dcterms:created>
  <dcterms:modified xsi:type="dcterms:W3CDTF">2026-08-19T04:42:38Z</dcterms:modified>
</cp:coreProperties>
</file>